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0730" windowHeight="11760" tabRatio="860" activeTab="2"/>
  </bookViews>
  <sheets>
    <sheet name="Свод_Сеть" sheetId="4" r:id="rId1"/>
    <sheet name="Свод_RJKAM" sheetId="5" r:id="rId2"/>
    <sheet name="Template" sheetId="1" r:id="rId3"/>
  </sheets>
  <definedNames>
    <definedName name="_xlnm._FilterDatabase" localSheetId="1" hidden="1">Свод_RJKAM!$A$5:$AF$92</definedName>
    <definedName name="SAPBEXrevision" hidden="1">305</definedName>
    <definedName name="SAPBEXsysID" hidden="1">"HBP"</definedName>
    <definedName name="SAPBEXwbID" hidden="1">"41ETMCOK9YHNRSAPP9V8OKOEG"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7" i="4" l="1"/>
  <c r="M17" i="4"/>
  <c r="AB30" i="4"/>
  <c r="R30" i="4"/>
  <c r="G68" i="4"/>
  <c r="G40" i="4"/>
  <c r="S53" i="4"/>
  <c r="M53" i="4"/>
  <c r="S16" i="4"/>
  <c r="M16" i="4"/>
  <c r="AB29" i="4"/>
  <c r="R29" i="4"/>
  <c r="S80" i="4"/>
  <c r="M80" i="4"/>
  <c r="AB63" i="4"/>
  <c r="R63" i="4"/>
  <c r="G63" i="4"/>
  <c r="S52" i="4"/>
  <c r="M52" i="4"/>
  <c r="S15" i="4"/>
  <c r="M15" i="4"/>
  <c r="AB28" i="4"/>
  <c r="R28" i="4"/>
  <c r="G51" i="4"/>
  <c r="S14" i="4"/>
  <c r="M14" i="4"/>
  <c r="AB27" i="4"/>
  <c r="R27" i="4"/>
  <c r="S78" i="4"/>
  <c r="M78" i="4"/>
  <c r="AB62" i="4"/>
  <c r="R62" i="4"/>
  <c r="S39" i="4"/>
  <c r="M39" i="4"/>
  <c r="AB50" i="4"/>
  <c r="R50" i="4"/>
  <c r="G50" i="4"/>
  <c r="G13" i="4"/>
  <c r="AB77" i="4"/>
  <c r="R77" i="4"/>
  <c r="S61" i="4"/>
  <c r="M61" i="4"/>
  <c r="G38" i="4"/>
  <c r="S49" i="4"/>
  <c r="M49" i="4"/>
  <c r="AB75" i="4"/>
  <c r="R75" i="4"/>
  <c r="S59" i="4"/>
  <c r="M59" i="4"/>
  <c r="G47" i="4"/>
  <c r="G10" i="4"/>
  <c r="S74" i="4"/>
  <c r="M74" i="4"/>
  <c r="G35" i="4"/>
  <c r="S57" i="4"/>
  <c r="M57" i="4"/>
  <c r="AB45" i="4"/>
  <c r="R45" i="4"/>
  <c r="AB72" i="4"/>
  <c r="R72" i="4"/>
  <c r="G72" i="4"/>
  <c r="AB66" i="4"/>
  <c r="AB65" i="4" s="1"/>
  <c r="R66" i="4"/>
  <c r="G66" i="4"/>
  <c r="G9" i="4"/>
  <c r="S8" i="4"/>
  <c r="M8" i="4"/>
  <c r="AB71" i="4"/>
  <c r="AB69" i="4" s="1"/>
  <c r="R71" i="4"/>
  <c r="AB43" i="4"/>
  <c r="R43" i="4"/>
  <c r="G7" i="4"/>
  <c r="AB70" i="4"/>
  <c r="R70" i="4"/>
  <c r="G32" i="4"/>
  <c r="AE1" i="5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AE80" i="4"/>
  <c r="AD80" i="4"/>
  <c r="AC80" i="4"/>
  <c r="AB80" i="4"/>
  <c r="AA80" i="4"/>
  <c r="Z80" i="4"/>
  <c r="Y80" i="4"/>
  <c r="X80" i="4"/>
  <c r="W80" i="4"/>
  <c r="V80" i="4"/>
  <c r="U80" i="4"/>
  <c r="T80" i="4"/>
  <c r="R80" i="4"/>
  <c r="Q80" i="4"/>
  <c r="P80" i="4"/>
  <c r="O80" i="4"/>
  <c r="N80" i="4"/>
  <c r="L80" i="4"/>
  <c r="K80" i="4"/>
  <c r="J80" i="4"/>
  <c r="I80" i="4"/>
  <c r="H80" i="4"/>
  <c r="G80" i="4"/>
  <c r="F80" i="4"/>
  <c r="E80" i="4"/>
  <c r="D80" i="4"/>
  <c r="C80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AE78" i="4"/>
  <c r="AD78" i="4"/>
  <c r="AC78" i="4"/>
  <c r="AB78" i="4"/>
  <c r="AA78" i="4"/>
  <c r="Z78" i="4"/>
  <c r="Y78" i="4"/>
  <c r="X78" i="4"/>
  <c r="W78" i="4"/>
  <c r="V78" i="4"/>
  <c r="U78" i="4"/>
  <c r="T78" i="4"/>
  <c r="R78" i="4"/>
  <c r="Q78" i="4"/>
  <c r="P78" i="4"/>
  <c r="O78" i="4"/>
  <c r="N78" i="4"/>
  <c r="L78" i="4"/>
  <c r="K78" i="4"/>
  <c r="J78" i="4"/>
  <c r="I78" i="4"/>
  <c r="H78" i="4"/>
  <c r="G78" i="4"/>
  <c r="F78" i="4"/>
  <c r="E78" i="4"/>
  <c r="D78" i="4"/>
  <c r="C78" i="4"/>
  <c r="AE77" i="4"/>
  <c r="AD77" i="4"/>
  <c r="AC77" i="4"/>
  <c r="AA77" i="4"/>
  <c r="Z77" i="4"/>
  <c r="Y77" i="4"/>
  <c r="X77" i="4"/>
  <c r="W77" i="4"/>
  <c r="V77" i="4"/>
  <c r="U77" i="4"/>
  <c r="T77" i="4"/>
  <c r="S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AE75" i="4"/>
  <c r="AD75" i="4"/>
  <c r="AC75" i="4"/>
  <c r="AA75" i="4"/>
  <c r="Z75" i="4"/>
  <c r="Y75" i="4"/>
  <c r="X75" i="4"/>
  <c r="W75" i="4"/>
  <c r="V75" i="4"/>
  <c r="U75" i="4"/>
  <c r="T75" i="4"/>
  <c r="S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AE74" i="4"/>
  <c r="AD74" i="4"/>
  <c r="AC74" i="4"/>
  <c r="AB74" i="4"/>
  <c r="AA74" i="4"/>
  <c r="Z74" i="4"/>
  <c r="Y74" i="4"/>
  <c r="X74" i="4"/>
  <c r="W74" i="4"/>
  <c r="V74" i="4"/>
  <c r="U74" i="4"/>
  <c r="T74" i="4"/>
  <c r="R74" i="4"/>
  <c r="Q74" i="4"/>
  <c r="P74" i="4"/>
  <c r="O74" i="4"/>
  <c r="N74" i="4"/>
  <c r="L74" i="4"/>
  <c r="K74" i="4"/>
  <c r="J74" i="4"/>
  <c r="I74" i="4"/>
  <c r="H74" i="4"/>
  <c r="G74" i="4"/>
  <c r="F74" i="4"/>
  <c r="E74" i="4"/>
  <c r="D74" i="4"/>
  <c r="C74" i="4"/>
  <c r="AE73" i="4"/>
  <c r="AD73" i="4"/>
  <c r="AD69" i="4" s="1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P69" i="4" s="1"/>
  <c r="O73" i="4"/>
  <c r="N73" i="4"/>
  <c r="M73" i="4"/>
  <c r="L73" i="4"/>
  <c r="L69" i="4" s="1"/>
  <c r="K73" i="4"/>
  <c r="J73" i="4"/>
  <c r="J69" i="4" s="1"/>
  <c r="I73" i="4"/>
  <c r="H73" i="4"/>
  <c r="H69" i="4" s="1"/>
  <c r="G73" i="4"/>
  <c r="F73" i="4"/>
  <c r="E73" i="4"/>
  <c r="D73" i="4"/>
  <c r="C73" i="4"/>
  <c r="AE72" i="4"/>
  <c r="AD72" i="4"/>
  <c r="AC72" i="4"/>
  <c r="AA72" i="4"/>
  <c r="Z72" i="4"/>
  <c r="Y72" i="4"/>
  <c r="X72" i="4"/>
  <c r="W72" i="4"/>
  <c r="V72" i="4"/>
  <c r="U72" i="4"/>
  <c r="T72" i="4"/>
  <c r="S72" i="4"/>
  <c r="Q72" i="4"/>
  <c r="P72" i="4"/>
  <c r="O72" i="4"/>
  <c r="N72" i="4"/>
  <c r="M72" i="4"/>
  <c r="L72" i="4"/>
  <c r="K72" i="4"/>
  <c r="J72" i="4"/>
  <c r="I72" i="4"/>
  <c r="H72" i="4"/>
  <c r="F72" i="4"/>
  <c r="E72" i="4"/>
  <c r="D72" i="4"/>
  <c r="C72" i="4"/>
  <c r="AE71" i="4"/>
  <c r="AD71" i="4"/>
  <c r="AC71" i="4"/>
  <c r="AA71" i="4"/>
  <c r="Z71" i="4"/>
  <c r="Y71" i="4"/>
  <c r="X71" i="4"/>
  <c r="W71" i="4"/>
  <c r="V71" i="4"/>
  <c r="U71" i="4"/>
  <c r="T71" i="4"/>
  <c r="S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A71" i="4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E70" i="4"/>
  <c r="AE69" i="4" s="1"/>
  <c r="AD70" i="4"/>
  <c r="AC70" i="4"/>
  <c r="AC69" i="4" s="1"/>
  <c r="AA70" i="4"/>
  <c r="Z70" i="4"/>
  <c r="Z69" i="4" s="1"/>
  <c r="Y70" i="4"/>
  <c r="X70" i="4"/>
  <c r="W70" i="4"/>
  <c r="V70" i="4"/>
  <c r="V69" i="4" s="1"/>
  <c r="U70" i="4"/>
  <c r="T70" i="4"/>
  <c r="T69" i="4" s="1"/>
  <c r="S70" i="4"/>
  <c r="Q70" i="4"/>
  <c r="Q69" i="4" s="1"/>
  <c r="P70" i="4"/>
  <c r="O70" i="4"/>
  <c r="O69" i="4" s="1"/>
  <c r="N70" i="4"/>
  <c r="M70" i="4"/>
  <c r="L70" i="4"/>
  <c r="K70" i="4"/>
  <c r="K69" i="4" s="1"/>
  <c r="J70" i="4"/>
  <c r="I70" i="4"/>
  <c r="I69" i="4" s="1"/>
  <c r="H70" i="4"/>
  <c r="G70" i="4"/>
  <c r="F70" i="4"/>
  <c r="E70" i="4"/>
  <c r="E69" i="4" s="1"/>
  <c r="D70" i="4"/>
  <c r="C70" i="4"/>
  <c r="X69" i="4"/>
  <c r="N69" i="4"/>
  <c r="F69" i="4"/>
  <c r="D69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F68" i="4"/>
  <c r="E68" i="4"/>
  <c r="D68" i="4"/>
  <c r="C68" i="4"/>
  <c r="AE67" i="4"/>
  <c r="AD67" i="4"/>
  <c r="AC67" i="4"/>
  <c r="AB67" i="4"/>
  <c r="AA67" i="4"/>
  <c r="AA65" i="4" s="1"/>
  <c r="Z67" i="4"/>
  <c r="Y67" i="4"/>
  <c r="Y65" i="4" s="1"/>
  <c r="X67" i="4"/>
  <c r="W67" i="4"/>
  <c r="V67" i="4"/>
  <c r="U67" i="4"/>
  <c r="U65" i="4" s="1"/>
  <c r="T67" i="4"/>
  <c r="S67" i="4"/>
  <c r="S65" i="4" s="1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A67" i="4"/>
  <c r="A68" i="4" s="1"/>
  <c r="AE66" i="4"/>
  <c r="AD66" i="4"/>
  <c r="AC66" i="4"/>
  <c r="AC65" i="4" s="1"/>
  <c r="AA66" i="4"/>
  <c r="Z66" i="4"/>
  <c r="Y66" i="4"/>
  <c r="X66" i="4"/>
  <c r="W66" i="4"/>
  <c r="V66" i="4"/>
  <c r="U66" i="4"/>
  <c r="T66" i="4"/>
  <c r="S66" i="4"/>
  <c r="Q66" i="4"/>
  <c r="Q65" i="4" s="1"/>
  <c r="P66" i="4"/>
  <c r="O66" i="4"/>
  <c r="N66" i="4"/>
  <c r="M66" i="4"/>
  <c r="M65" i="4" s="1"/>
  <c r="L66" i="4"/>
  <c r="K66" i="4"/>
  <c r="K65" i="4" s="1"/>
  <c r="J66" i="4"/>
  <c r="I66" i="4"/>
  <c r="I65" i="4" s="1"/>
  <c r="H66" i="4"/>
  <c r="F66" i="4"/>
  <c r="F65" i="4" s="1"/>
  <c r="E66" i="4"/>
  <c r="D66" i="4"/>
  <c r="D65" i="4" s="1"/>
  <c r="C66" i="4"/>
  <c r="AE65" i="4"/>
  <c r="W65" i="4"/>
  <c r="O65" i="4"/>
  <c r="G65" i="4"/>
  <c r="E65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AE63" i="4"/>
  <c r="AD63" i="4"/>
  <c r="AC63" i="4"/>
  <c r="AA63" i="4"/>
  <c r="Z63" i="4"/>
  <c r="Y63" i="4"/>
  <c r="X63" i="4"/>
  <c r="W63" i="4"/>
  <c r="V63" i="4"/>
  <c r="U63" i="4"/>
  <c r="T63" i="4"/>
  <c r="S63" i="4"/>
  <c r="Q63" i="4"/>
  <c r="P63" i="4"/>
  <c r="O63" i="4"/>
  <c r="N63" i="4"/>
  <c r="M63" i="4"/>
  <c r="L63" i="4"/>
  <c r="K63" i="4"/>
  <c r="J63" i="4"/>
  <c r="I63" i="4"/>
  <c r="H63" i="4"/>
  <c r="F63" i="4"/>
  <c r="E63" i="4"/>
  <c r="D63" i="4"/>
  <c r="C63" i="4"/>
  <c r="AE62" i="4"/>
  <c r="AD62" i="4"/>
  <c r="AC62" i="4"/>
  <c r="AA62" i="4"/>
  <c r="Z62" i="4"/>
  <c r="Y62" i="4"/>
  <c r="X62" i="4"/>
  <c r="W62" i="4"/>
  <c r="V62" i="4"/>
  <c r="U62" i="4"/>
  <c r="T62" i="4"/>
  <c r="S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AE61" i="4"/>
  <c r="AD61" i="4"/>
  <c r="AC61" i="4"/>
  <c r="AB61" i="4"/>
  <c r="AA61" i="4"/>
  <c r="Z61" i="4"/>
  <c r="Y61" i="4"/>
  <c r="X61" i="4"/>
  <c r="W61" i="4"/>
  <c r="V61" i="4"/>
  <c r="U61" i="4"/>
  <c r="T61" i="4"/>
  <c r="R61" i="4"/>
  <c r="Q61" i="4"/>
  <c r="P61" i="4"/>
  <c r="O61" i="4"/>
  <c r="N61" i="4"/>
  <c r="L61" i="4"/>
  <c r="K61" i="4"/>
  <c r="J61" i="4"/>
  <c r="I61" i="4"/>
  <c r="H61" i="4"/>
  <c r="G61" i="4"/>
  <c r="F61" i="4"/>
  <c r="E61" i="4"/>
  <c r="D61" i="4"/>
  <c r="C61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AE59" i="4"/>
  <c r="AD59" i="4"/>
  <c r="AC59" i="4"/>
  <c r="AB59" i="4"/>
  <c r="AA59" i="4"/>
  <c r="Z59" i="4"/>
  <c r="Y59" i="4"/>
  <c r="X59" i="4"/>
  <c r="W59" i="4"/>
  <c r="V59" i="4"/>
  <c r="U59" i="4"/>
  <c r="T59" i="4"/>
  <c r="R59" i="4"/>
  <c r="Q59" i="4"/>
  <c r="P59" i="4"/>
  <c r="O59" i="4"/>
  <c r="N59" i="4"/>
  <c r="L59" i="4"/>
  <c r="K59" i="4"/>
  <c r="J59" i="4"/>
  <c r="I59" i="4"/>
  <c r="H59" i="4"/>
  <c r="G59" i="4"/>
  <c r="F59" i="4"/>
  <c r="E59" i="4"/>
  <c r="D59" i="4"/>
  <c r="C59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AE57" i="4"/>
  <c r="AD57" i="4"/>
  <c r="AC57" i="4"/>
  <c r="AB57" i="4"/>
  <c r="AA57" i="4"/>
  <c r="Z57" i="4"/>
  <c r="Y57" i="4"/>
  <c r="X57" i="4"/>
  <c r="W57" i="4"/>
  <c r="V57" i="4"/>
  <c r="U57" i="4"/>
  <c r="T57" i="4"/>
  <c r="R57" i="4"/>
  <c r="Q57" i="4"/>
  <c r="P57" i="4"/>
  <c r="O57" i="4"/>
  <c r="N57" i="4"/>
  <c r="L57" i="4"/>
  <c r="K57" i="4"/>
  <c r="J57" i="4"/>
  <c r="I57" i="4"/>
  <c r="H57" i="4"/>
  <c r="G57" i="4"/>
  <c r="F57" i="4"/>
  <c r="E57" i="4"/>
  <c r="D57" i="4"/>
  <c r="C57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A56" i="4"/>
  <c r="A57" i="4" s="1"/>
  <c r="A58" i="4" s="1"/>
  <c r="A59" i="4" s="1"/>
  <c r="A60" i="4" s="1"/>
  <c r="A61" i="4" s="1"/>
  <c r="A62" i="4" s="1"/>
  <c r="A63" i="4" s="1"/>
  <c r="A64" i="4" s="1"/>
  <c r="AE55" i="4"/>
  <c r="AD55" i="4"/>
  <c r="AC55" i="4"/>
  <c r="AB55" i="4"/>
  <c r="AB54" i="4" s="1"/>
  <c r="AA55" i="4"/>
  <c r="Z55" i="4"/>
  <c r="Z54" i="4" s="1"/>
  <c r="Y55" i="4"/>
  <c r="X55" i="4"/>
  <c r="X54" i="4" s="1"/>
  <c r="W55" i="4"/>
  <c r="V55" i="4"/>
  <c r="U55" i="4"/>
  <c r="T55" i="4"/>
  <c r="T54" i="4" s="1"/>
  <c r="S55" i="4"/>
  <c r="R55" i="4"/>
  <c r="Q55" i="4"/>
  <c r="P55" i="4"/>
  <c r="P54" i="4" s="1"/>
  <c r="O55" i="4"/>
  <c r="N55" i="4"/>
  <c r="N54" i="4" s="1"/>
  <c r="M55" i="4"/>
  <c r="L55" i="4"/>
  <c r="K55" i="4"/>
  <c r="J55" i="4"/>
  <c r="J54" i="4" s="1"/>
  <c r="I55" i="4"/>
  <c r="H55" i="4"/>
  <c r="H54" i="4" s="1"/>
  <c r="G55" i="4"/>
  <c r="F55" i="4"/>
  <c r="E55" i="4"/>
  <c r="E54" i="4" s="1"/>
  <c r="D55" i="4"/>
  <c r="C55" i="4"/>
  <c r="AD54" i="4"/>
  <c r="V54" i="4"/>
  <c r="L54" i="4"/>
  <c r="F54" i="4"/>
  <c r="D54" i="4"/>
  <c r="AE53" i="4"/>
  <c r="AD53" i="4"/>
  <c r="AC53" i="4"/>
  <c r="AB53" i="4"/>
  <c r="AA53" i="4"/>
  <c r="Z53" i="4"/>
  <c r="Y53" i="4"/>
  <c r="X53" i="4"/>
  <c r="W53" i="4"/>
  <c r="V53" i="4"/>
  <c r="U53" i="4"/>
  <c r="T53" i="4"/>
  <c r="R53" i="4"/>
  <c r="Q53" i="4"/>
  <c r="P53" i="4"/>
  <c r="O53" i="4"/>
  <c r="N53" i="4"/>
  <c r="L53" i="4"/>
  <c r="K53" i="4"/>
  <c r="J53" i="4"/>
  <c r="I53" i="4"/>
  <c r="H53" i="4"/>
  <c r="G53" i="4"/>
  <c r="F53" i="4"/>
  <c r="E53" i="4"/>
  <c r="D53" i="4"/>
  <c r="C53" i="4"/>
  <c r="AE52" i="4"/>
  <c r="AD52" i="4"/>
  <c r="AC52" i="4"/>
  <c r="AB52" i="4"/>
  <c r="AA52" i="4"/>
  <c r="Z52" i="4"/>
  <c r="Y52" i="4"/>
  <c r="X52" i="4"/>
  <c r="W52" i="4"/>
  <c r="V52" i="4"/>
  <c r="U52" i="4"/>
  <c r="T52" i="4"/>
  <c r="R52" i="4"/>
  <c r="Q52" i="4"/>
  <c r="P52" i="4"/>
  <c r="O52" i="4"/>
  <c r="N52" i="4"/>
  <c r="L52" i="4"/>
  <c r="K52" i="4"/>
  <c r="J52" i="4"/>
  <c r="I52" i="4"/>
  <c r="H52" i="4"/>
  <c r="G52" i="4"/>
  <c r="F52" i="4"/>
  <c r="E52" i="4"/>
  <c r="D52" i="4"/>
  <c r="C52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F51" i="4"/>
  <c r="E51" i="4"/>
  <c r="D51" i="4"/>
  <c r="C51" i="4"/>
  <c r="AE50" i="4"/>
  <c r="AD50" i="4"/>
  <c r="AC50" i="4"/>
  <c r="AA50" i="4"/>
  <c r="Z50" i="4"/>
  <c r="Y50" i="4"/>
  <c r="X50" i="4"/>
  <c r="W50" i="4"/>
  <c r="V50" i="4"/>
  <c r="U50" i="4"/>
  <c r="T50" i="4"/>
  <c r="S50" i="4"/>
  <c r="Q50" i="4"/>
  <c r="P50" i="4"/>
  <c r="O50" i="4"/>
  <c r="N50" i="4"/>
  <c r="M50" i="4"/>
  <c r="L50" i="4"/>
  <c r="K50" i="4"/>
  <c r="J50" i="4"/>
  <c r="I50" i="4"/>
  <c r="H50" i="4"/>
  <c r="F50" i="4"/>
  <c r="E50" i="4"/>
  <c r="D50" i="4"/>
  <c r="C50" i="4"/>
  <c r="AE49" i="4"/>
  <c r="AD49" i="4"/>
  <c r="AC49" i="4"/>
  <c r="AB49" i="4"/>
  <c r="AA49" i="4"/>
  <c r="Z49" i="4"/>
  <c r="Y49" i="4"/>
  <c r="X49" i="4"/>
  <c r="W49" i="4"/>
  <c r="V49" i="4"/>
  <c r="U49" i="4"/>
  <c r="T49" i="4"/>
  <c r="R49" i="4"/>
  <c r="Q49" i="4"/>
  <c r="P49" i="4"/>
  <c r="O49" i="4"/>
  <c r="N49" i="4"/>
  <c r="L49" i="4"/>
  <c r="K49" i="4"/>
  <c r="J49" i="4"/>
  <c r="I49" i="4"/>
  <c r="H49" i="4"/>
  <c r="G49" i="4"/>
  <c r="F49" i="4"/>
  <c r="E49" i="4"/>
  <c r="D49" i="4"/>
  <c r="C49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F47" i="4"/>
  <c r="E47" i="4"/>
  <c r="D47" i="4"/>
  <c r="C47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AE45" i="4"/>
  <c r="AD45" i="4"/>
  <c r="AC45" i="4"/>
  <c r="AA45" i="4"/>
  <c r="Z45" i="4"/>
  <c r="Y45" i="4"/>
  <c r="X45" i="4"/>
  <c r="W45" i="4"/>
  <c r="V45" i="4"/>
  <c r="U45" i="4"/>
  <c r="T45" i="4"/>
  <c r="S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AE43" i="4"/>
  <c r="AD43" i="4"/>
  <c r="AC43" i="4"/>
  <c r="AA43" i="4"/>
  <c r="Z43" i="4"/>
  <c r="Y43" i="4"/>
  <c r="X43" i="4"/>
  <c r="W43" i="4"/>
  <c r="V43" i="4"/>
  <c r="U43" i="4"/>
  <c r="T43" i="4"/>
  <c r="S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A43" i="4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E42" i="4"/>
  <c r="AD42" i="4"/>
  <c r="AC42" i="4"/>
  <c r="AB42" i="4"/>
  <c r="AA42" i="4"/>
  <c r="Z42" i="4"/>
  <c r="Y42" i="4"/>
  <c r="X42" i="4"/>
  <c r="W42" i="4"/>
  <c r="V42" i="4"/>
  <c r="V41" i="4" s="1"/>
  <c r="U42" i="4"/>
  <c r="T42" i="4"/>
  <c r="S42" i="4"/>
  <c r="R42" i="4"/>
  <c r="Q42" i="4"/>
  <c r="P42" i="4"/>
  <c r="O42" i="4"/>
  <c r="N42" i="4"/>
  <c r="M42" i="4"/>
  <c r="L42" i="4"/>
  <c r="L41" i="4" s="1"/>
  <c r="K42" i="4"/>
  <c r="J42" i="4"/>
  <c r="I42" i="4"/>
  <c r="H42" i="4"/>
  <c r="G42" i="4"/>
  <c r="F42" i="4"/>
  <c r="E42" i="4"/>
  <c r="E41" i="4" s="1"/>
  <c r="D42" i="4"/>
  <c r="C42" i="4"/>
  <c r="Z41" i="4"/>
  <c r="P41" i="4"/>
  <c r="F41" i="4"/>
  <c r="D41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F40" i="4"/>
  <c r="E40" i="4"/>
  <c r="D40" i="4"/>
  <c r="C40" i="4"/>
  <c r="AE39" i="4"/>
  <c r="AD39" i="4"/>
  <c r="AC39" i="4"/>
  <c r="AB39" i="4"/>
  <c r="AA39" i="4"/>
  <c r="Z39" i="4"/>
  <c r="Y39" i="4"/>
  <c r="X39" i="4"/>
  <c r="W39" i="4"/>
  <c r="V39" i="4"/>
  <c r="U39" i="4"/>
  <c r="T39" i="4"/>
  <c r="R39" i="4"/>
  <c r="Q39" i="4"/>
  <c r="P39" i="4"/>
  <c r="O39" i="4"/>
  <c r="N39" i="4"/>
  <c r="L39" i="4"/>
  <c r="K39" i="4"/>
  <c r="J39" i="4"/>
  <c r="I39" i="4"/>
  <c r="H39" i="4"/>
  <c r="G39" i="4"/>
  <c r="F39" i="4"/>
  <c r="E39" i="4"/>
  <c r="D39" i="4"/>
  <c r="C39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F38" i="4"/>
  <c r="E38" i="4"/>
  <c r="D38" i="4"/>
  <c r="C38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F35" i="4"/>
  <c r="E35" i="4"/>
  <c r="D35" i="4"/>
  <c r="C35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33" i="4"/>
  <c r="A34" i="4" s="1"/>
  <c r="A35" i="4" s="1"/>
  <c r="A36" i="4" s="1"/>
  <c r="A37" i="4" s="1"/>
  <c r="A38" i="4" s="1"/>
  <c r="A39" i="4" s="1"/>
  <c r="A40" i="4" s="1"/>
  <c r="AE32" i="4"/>
  <c r="AD32" i="4"/>
  <c r="AC32" i="4"/>
  <c r="AC31" i="4" s="1"/>
  <c r="AB32" i="4"/>
  <c r="AA32" i="4"/>
  <c r="AA31" i="4" s="1"/>
  <c r="Z32" i="4"/>
  <c r="Y32" i="4"/>
  <c r="Y31" i="4" s="1"/>
  <c r="X32" i="4"/>
  <c r="W32" i="4"/>
  <c r="W31" i="4" s="1"/>
  <c r="V32" i="4"/>
  <c r="U32" i="4"/>
  <c r="U31" i="4" s="1"/>
  <c r="T32" i="4"/>
  <c r="S32" i="4"/>
  <c r="R32" i="4"/>
  <c r="Q32" i="4"/>
  <c r="Q31" i="4" s="1"/>
  <c r="P32" i="4"/>
  <c r="O32" i="4"/>
  <c r="O31" i="4" s="1"/>
  <c r="N32" i="4"/>
  <c r="M32" i="4"/>
  <c r="L32" i="4"/>
  <c r="K32" i="4"/>
  <c r="J32" i="4"/>
  <c r="I32" i="4"/>
  <c r="I31" i="4" s="1"/>
  <c r="H32" i="4"/>
  <c r="F32" i="4"/>
  <c r="F31" i="4" s="1"/>
  <c r="E32" i="4"/>
  <c r="D32" i="4"/>
  <c r="D31" i="4" s="1"/>
  <c r="C32" i="4"/>
  <c r="AE31" i="4"/>
  <c r="K31" i="4"/>
  <c r="E31" i="4"/>
  <c r="AE30" i="4"/>
  <c r="AD30" i="4"/>
  <c r="AC30" i="4"/>
  <c r="AA30" i="4"/>
  <c r="Z30" i="4"/>
  <c r="Y30" i="4"/>
  <c r="X30" i="4"/>
  <c r="W30" i="4"/>
  <c r="V30" i="4"/>
  <c r="U30" i="4"/>
  <c r="T30" i="4"/>
  <c r="S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9" i="4"/>
  <c r="AD29" i="4"/>
  <c r="AC29" i="4"/>
  <c r="AA29" i="4"/>
  <c r="Z29" i="4"/>
  <c r="Y29" i="4"/>
  <c r="X29" i="4"/>
  <c r="W29" i="4"/>
  <c r="V29" i="4"/>
  <c r="U29" i="4"/>
  <c r="T29" i="4"/>
  <c r="S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E28" i="4"/>
  <c r="AD28" i="4"/>
  <c r="AC28" i="4"/>
  <c r="AA28" i="4"/>
  <c r="Z28" i="4"/>
  <c r="Y28" i="4"/>
  <c r="X28" i="4"/>
  <c r="W28" i="4"/>
  <c r="V28" i="4"/>
  <c r="U28" i="4"/>
  <c r="T28" i="4"/>
  <c r="S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AE27" i="4"/>
  <c r="AD27" i="4"/>
  <c r="AC27" i="4"/>
  <c r="AA27" i="4"/>
  <c r="Z27" i="4"/>
  <c r="Y27" i="4"/>
  <c r="X27" i="4"/>
  <c r="W27" i="4"/>
  <c r="V27" i="4"/>
  <c r="U27" i="4"/>
  <c r="T27" i="4"/>
  <c r="S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AE21" i="4"/>
  <c r="AD21" i="4"/>
  <c r="AD18" i="4" s="1"/>
  <c r="AC21" i="4"/>
  <c r="AB21" i="4"/>
  <c r="AA21" i="4"/>
  <c r="Z21" i="4"/>
  <c r="Y21" i="4"/>
  <c r="X21" i="4"/>
  <c r="W21" i="4"/>
  <c r="V21" i="4"/>
  <c r="U21" i="4"/>
  <c r="T21" i="4"/>
  <c r="T18" i="4" s="1"/>
  <c r="S21" i="4"/>
  <c r="R21" i="4"/>
  <c r="Q21" i="4"/>
  <c r="P21" i="4"/>
  <c r="O21" i="4"/>
  <c r="N21" i="4"/>
  <c r="M21" i="4"/>
  <c r="L21" i="4"/>
  <c r="K21" i="4"/>
  <c r="J21" i="4"/>
  <c r="J18" i="4" s="1"/>
  <c r="I21" i="4"/>
  <c r="H21" i="4"/>
  <c r="G21" i="4"/>
  <c r="F21" i="4"/>
  <c r="E21" i="4"/>
  <c r="D21" i="4"/>
  <c r="C21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A20" i="4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E18" i="4" s="1"/>
  <c r="D19" i="4"/>
  <c r="C19" i="4"/>
  <c r="X18" i="4"/>
  <c r="N18" i="4"/>
  <c r="F18" i="4"/>
  <c r="D18" i="4"/>
  <c r="AE17" i="4"/>
  <c r="AD17" i="4"/>
  <c r="AC17" i="4"/>
  <c r="AB17" i="4"/>
  <c r="AA17" i="4"/>
  <c r="Z17" i="4"/>
  <c r="Y17" i="4"/>
  <c r="X17" i="4"/>
  <c r="W17" i="4"/>
  <c r="V17" i="4"/>
  <c r="U17" i="4"/>
  <c r="T17" i="4"/>
  <c r="R17" i="4"/>
  <c r="Q17" i="4"/>
  <c r="P17" i="4"/>
  <c r="O17" i="4"/>
  <c r="N17" i="4"/>
  <c r="L17" i="4"/>
  <c r="K17" i="4"/>
  <c r="J17" i="4"/>
  <c r="I17" i="4"/>
  <c r="H17" i="4"/>
  <c r="G17" i="4"/>
  <c r="F17" i="4"/>
  <c r="E17" i="4"/>
  <c r="D17" i="4"/>
  <c r="C17" i="4"/>
  <c r="AE16" i="4"/>
  <c r="AD16" i="4"/>
  <c r="AC16" i="4"/>
  <c r="AB16" i="4"/>
  <c r="AA16" i="4"/>
  <c r="Z16" i="4"/>
  <c r="Y16" i="4"/>
  <c r="X16" i="4"/>
  <c r="W16" i="4"/>
  <c r="V16" i="4"/>
  <c r="U16" i="4"/>
  <c r="T16" i="4"/>
  <c r="R16" i="4"/>
  <c r="Q16" i="4"/>
  <c r="P16" i="4"/>
  <c r="O16" i="4"/>
  <c r="N16" i="4"/>
  <c r="L16" i="4"/>
  <c r="K16" i="4"/>
  <c r="J16" i="4"/>
  <c r="I16" i="4"/>
  <c r="H16" i="4"/>
  <c r="G16" i="4"/>
  <c r="F16" i="4"/>
  <c r="E16" i="4"/>
  <c r="D16" i="4"/>
  <c r="C16" i="4"/>
  <c r="AE15" i="4"/>
  <c r="AD15" i="4"/>
  <c r="AC15" i="4"/>
  <c r="AB15" i="4"/>
  <c r="AA15" i="4"/>
  <c r="Z15" i="4"/>
  <c r="Y15" i="4"/>
  <c r="X15" i="4"/>
  <c r="W15" i="4"/>
  <c r="V15" i="4"/>
  <c r="U15" i="4"/>
  <c r="T15" i="4"/>
  <c r="R15" i="4"/>
  <c r="Q15" i="4"/>
  <c r="P15" i="4"/>
  <c r="O15" i="4"/>
  <c r="N15" i="4"/>
  <c r="L15" i="4"/>
  <c r="K15" i="4"/>
  <c r="J15" i="4"/>
  <c r="I15" i="4"/>
  <c r="H15" i="4"/>
  <c r="G15" i="4"/>
  <c r="F15" i="4"/>
  <c r="E15" i="4"/>
  <c r="D15" i="4"/>
  <c r="C15" i="4"/>
  <c r="AE14" i="4"/>
  <c r="AD14" i="4"/>
  <c r="AC14" i="4"/>
  <c r="AB14" i="4"/>
  <c r="AA14" i="4"/>
  <c r="Z14" i="4"/>
  <c r="Y14" i="4"/>
  <c r="X14" i="4"/>
  <c r="W14" i="4"/>
  <c r="V14" i="4"/>
  <c r="U14" i="4"/>
  <c r="T14" i="4"/>
  <c r="R14" i="4"/>
  <c r="Q14" i="4"/>
  <c r="P14" i="4"/>
  <c r="O14" i="4"/>
  <c r="N14" i="4"/>
  <c r="L14" i="4"/>
  <c r="K14" i="4"/>
  <c r="J14" i="4"/>
  <c r="I14" i="4"/>
  <c r="H14" i="4"/>
  <c r="G14" i="4"/>
  <c r="F14" i="4"/>
  <c r="E14" i="4"/>
  <c r="D14" i="4"/>
  <c r="C14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F13" i="4"/>
  <c r="E13" i="4"/>
  <c r="D13" i="4"/>
  <c r="C13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F10" i="4"/>
  <c r="E10" i="4"/>
  <c r="D10" i="4"/>
  <c r="C10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F9" i="4"/>
  <c r="E9" i="4"/>
  <c r="D9" i="4"/>
  <c r="C9" i="4"/>
  <c r="AE8" i="4"/>
  <c r="AD8" i="4"/>
  <c r="AC8" i="4"/>
  <c r="AB8" i="4"/>
  <c r="AA8" i="4"/>
  <c r="Z8" i="4"/>
  <c r="Y8" i="4"/>
  <c r="X8" i="4"/>
  <c r="W8" i="4"/>
  <c r="V8" i="4"/>
  <c r="U8" i="4"/>
  <c r="T8" i="4"/>
  <c r="R8" i="4"/>
  <c r="Q8" i="4"/>
  <c r="P8" i="4"/>
  <c r="O8" i="4"/>
  <c r="N8" i="4"/>
  <c r="L8" i="4"/>
  <c r="K8" i="4"/>
  <c r="J8" i="4"/>
  <c r="I8" i="4"/>
  <c r="H8" i="4"/>
  <c r="G8" i="4"/>
  <c r="F8" i="4"/>
  <c r="E8" i="4"/>
  <c r="D8" i="4"/>
  <c r="C8" i="4"/>
  <c r="A8" i="4"/>
  <c r="A9" i="4" s="1"/>
  <c r="A10" i="4" s="1"/>
  <c r="A11" i="4" s="1"/>
  <c r="A12" i="4" s="1"/>
  <c r="A13" i="4" s="1"/>
  <c r="A14" i="4" s="1"/>
  <c r="A15" i="4" s="1"/>
  <c r="A16" i="4" s="1"/>
  <c r="A17" i="4" s="1"/>
  <c r="AE7" i="4"/>
  <c r="AD7" i="4"/>
  <c r="AC7" i="4"/>
  <c r="AC6" i="4" s="1"/>
  <c r="AB7" i="4"/>
  <c r="AA7" i="4"/>
  <c r="AA6" i="4" s="1"/>
  <c r="Z7" i="4"/>
  <c r="Y7" i="4"/>
  <c r="Y6" i="4" s="1"/>
  <c r="X7" i="4"/>
  <c r="W7" i="4"/>
  <c r="W6" i="4" s="1"/>
  <c r="V7" i="4"/>
  <c r="U7" i="4"/>
  <c r="U6" i="4" s="1"/>
  <c r="T7" i="4"/>
  <c r="S7" i="4"/>
  <c r="S6" i="4" s="1"/>
  <c r="R7" i="4"/>
  <c r="Q7" i="4"/>
  <c r="Q6" i="4" s="1"/>
  <c r="P7" i="4"/>
  <c r="O7" i="4"/>
  <c r="N7" i="4"/>
  <c r="M7" i="4"/>
  <c r="L7" i="4"/>
  <c r="K7" i="4"/>
  <c r="K6" i="4" s="1"/>
  <c r="J7" i="4"/>
  <c r="I7" i="4"/>
  <c r="I6" i="4" s="1"/>
  <c r="H7" i="4"/>
  <c r="F7" i="4"/>
  <c r="F6" i="4" s="1"/>
  <c r="E7" i="4"/>
  <c r="D7" i="4"/>
  <c r="D6" i="4" s="1"/>
  <c r="C7" i="4"/>
  <c r="AE6" i="4"/>
  <c r="O6" i="4"/>
  <c r="E6" i="4"/>
  <c r="AD1" i="4"/>
  <c r="H18" i="4" l="1"/>
  <c r="L18" i="4"/>
  <c r="P18" i="4"/>
  <c r="V18" i="4"/>
  <c r="Z18" i="4"/>
  <c r="G41" i="4"/>
  <c r="I41" i="4"/>
  <c r="K41" i="4"/>
  <c r="M41" i="4"/>
  <c r="O41" i="4"/>
  <c r="Q41" i="4"/>
  <c r="S41" i="4"/>
  <c r="U41" i="4"/>
  <c r="W41" i="4"/>
  <c r="Y41" i="4"/>
  <c r="AA41" i="4"/>
  <c r="AC41" i="4"/>
  <c r="AE41" i="4"/>
  <c r="T41" i="4"/>
  <c r="X41" i="4"/>
  <c r="J41" i="4"/>
  <c r="N41" i="4"/>
  <c r="AD41" i="4"/>
  <c r="G6" i="4"/>
  <c r="H41" i="4"/>
  <c r="R69" i="4"/>
  <c r="AB41" i="4"/>
  <c r="M31" i="4"/>
  <c r="R54" i="4"/>
  <c r="R18" i="4"/>
  <c r="G18" i="4"/>
  <c r="I18" i="4"/>
  <c r="K18" i="4"/>
  <c r="M18" i="4"/>
  <c r="O18" i="4"/>
  <c r="Q18" i="4"/>
  <c r="S18" i="4"/>
  <c r="U18" i="4"/>
  <c r="W18" i="4"/>
  <c r="Y18" i="4"/>
  <c r="AA18" i="4"/>
  <c r="AC18" i="4"/>
  <c r="AE18" i="4"/>
  <c r="H31" i="4"/>
  <c r="J31" i="4"/>
  <c r="L31" i="4"/>
  <c r="N31" i="4"/>
  <c r="P31" i="4"/>
  <c r="R31" i="4"/>
  <c r="T31" i="4"/>
  <c r="V31" i="4"/>
  <c r="X31" i="4"/>
  <c r="Z31" i="4"/>
  <c r="AB31" i="4"/>
  <c r="AD31" i="4"/>
  <c r="I54" i="4"/>
  <c r="K54" i="4"/>
  <c r="O54" i="4"/>
  <c r="Q54" i="4"/>
  <c r="U54" i="4"/>
  <c r="W54" i="4"/>
  <c r="Y54" i="4"/>
  <c r="AA54" i="4"/>
  <c r="AC54" i="4"/>
  <c r="AE54" i="4"/>
  <c r="G31" i="4"/>
  <c r="R41" i="4"/>
  <c r="M6" i="4"/>
  <c r="R65" i="4"/>
  <c r="S31" i="4"/>
  <c r="AB18" i="4"/>
  <c r="H6" i="4"/>
  <c r="J6" i="4"/>
  <c r="L6" i="4"/>
  <c r="N6" i="4"/>
  <c r="P6" i="4"/>
  <c r="R6" i="4"/>
  <c r="T6" i="4"/>
  <c r="V6" i="4"/>
  <c r="X6" i="4"/>
  <c r="Z6" i="4"/>
  <c r="AB6" i="4"/>
  <c r="AD6" i="4"/>
  <c r="G54" i="4"/>
  <c r="M54" i="4"/>
  <c r="S54" i="4"/>
  <c r="G69" i="4"/>
  <c r="M69" i="4"/>
  <c r="H65" i="4"/>
  <c r="J65" i="4"/>
  <c r="L65" i="4"/>
  <c r="N65" i="4"/>
  <c r="P65" i="4"/>
  <c r="T65" i="4"/>
  <c r="V65" i="4"/>
  <c r="X65" i="4"/>
  <c r="Z65" i="4"/>
  <c r="AD65" i="4"/>
  <c r="S69" i="4"/>
  <c r="U69" i="4"/>
  <c r="W69" i="4"/>
  <c r="Y69" i="4"/>
  <c r="AA69" i="4"/>
  <c r="L12" i="1" l="1"/>
  <c r="P12" i="1"/>
  <c r="AB12" i="1" s="1"/>
  <c r="AC12" i="1" s="1"/>
  <c r="U12" i="1"/>
  <c r="Z12" i="1"/>
  <c r="AG12" i="1"/>
  <c r="AK12" i="1"/>
  <c r="AO12" i="1"/>
  <c r="AP12" i="1"/>
  <c r="AT12" i="1"/>
  <c r="AT11" i="1" l="1"/>
  <c r="AT10" i="1" s="1"/>
  <c r="AS11" i="1"/>
  <c r="AR11" i="1"/>
  <c r="AR10" i="1" s="1"/>
  <c r="AS10" i="1"/>
  <c r="AN11" i="1"/>
  <c r="AN10" i="1" s="1"/>
  <c r="AM11" i="1"/>
  <c r="AM10" i="1" s="1"/>
  <c r="AL11" i="1"/>
  <c r="AL10" i="1"/>
  <c r="AK11" i="1"/>
  <c r="AK10" i="1" s="1"/>
  <c r="AH11" i="1"/>
  <c r="AH10" i="1" s="1"/>
  <c r="AJ11" i="1"/>
  <c r="AI11" i="1"/>
  <c r="AJ10" i="1"/>
  <c r="AI10" i="1"/>
  <c r="D11" i="1"/>
  <c r="D10" i="1" s="1"/>
  <c r="Z11" i="1" l="1"/>
  <c r="U11" i="1"/>
  <c r="AQ11" i="1"/>
  <c r="AQ10" i="1" s="1"/>
  <c r="AO11" i="1"/>
  <c r="AF11" i="1"/>
  <c r="AF10" i="1" s="1"/>
  <c r="AE11" i="1"/>
  <c r="AE10" i="1" s="1"/>
  <c r="AD11" i="1"/>
  <c r="AD10" i="1" s="1"/>
  <c r="Y11" i="1"/>
  <c r="Y10" i="1" s="1"/>
  <c r="X11" i="1"/>
  <c r="X10" i="1" s="1"/>
  <c r="W11" i="1"/>
  <c r="W10" i="1" s="1"/>
  <c r="T11" i="1"/>
  <c r="T10" i="1" s="1"/>
  <c r="S11" i="1"/>
  <c r="S10" i="1" s="1"/>
  <c r="R11" i="1"/>
  <c r="R10" i="1" s="1"/>
  <c r="O11" i="1"/>
  <c r="N11" i="1"/>
  <c r="N10" i="1" s="1"/>
  <c r="M11" i="1"/>
  <c r="M10" i="1" s="1"/>
  <c r="K11" i="1"/>
  <c r="K10" i="1" s="1"/>
  <c r="J11" i="1"/>
  <c r="J10" i="1" s="1"/>
  <c r="I11" i="1"/>
  <c r="I10" i="1" s="1"/>
  <c r="AG11" i="1"/>
  <c r="P11" i="1"/>
  <c r="L11" i="1"/>
  <c r="O10" i="1"/>
  <c r="AO10" i="1" l="1"/>
  <c r="AP10" i="1" s="1"/>
  <c r="AP11" i="1"/>
  <c r="AB11" i="1"/>
  <c r="AC11" i="1" s="1"/>
  <c r="AG10" i="1"/>
  <c r="Z10" i="1"/>
  <c r="U10" i="1" l="1"/>
  <c r="P10" i="1"/>
  <c r="AB10" i="1" l="1"/>
  <c r="L10" i="1"/>
  <c r="AC10" i="1" l="1"/>
</calcChain>
</file>

<file path=xl/comments1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jx:area(lastCell="AU15")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jx:each(items="rjkamReportItemList" var="rjkamGroup" groupBy="name" groupOrder="asc" lastCell="AU15" multisheet="sheetNames" )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jx:each(items="rjkamGroup.items" var="rjkam" lastCell="AU12")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jx:each(items="rjkam.reportItemList" var="repGroup" groupBy="nkaId" groupOrder="asc" lastCell="AU12")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jx:each(items="repGroup.items" var="reportItem" lastCell="AU12")</t>
        </r>
      </text>
    </comment>
  </commentList>
</comments>
</file>

<file path=xl/sharedStrings.xml><?xml version="1.0" encoding="utf-8"?>
<sst xmlns="http://schemas.openxmlformats.org/spreadsheetml/2006/main" count="335" uniqueCount="113">
  <si>
    <t>ТС / Адрес</t>
  </si>
  <si>
    <t>Итого</t>
  </si>
  <si>
    <t>МЗ</t>
  </si>
  <si>
    <t>1 неделя</t>
  </si>
  <si>
    <t>Полка</t>
  </si>
  <si>
    <t>План</t>
  </si>
  <si>
    <t>Факт</t>
  </si>
  <si>
    <t>№</t>
  </si>
  <si>
    <t>Дубл-е выкладки</t>
  </si>
  <si>
    <t>ББ</t>
  </si>
  <si>
    <t>итого</t>
  </si>
  <si>
    <t>ДП</t>
  </si>
  <si>
    <t>ВСЕГО</t>
  </si>
  <si>
    <t>КП</t>
  </si>
  <si>
    <t>СС</t>
  </si>
  <si>
    <t>Доп места</t>
  </si>
  <si>
    <t>Акционные</t>
  </si>
  <si>
    <t>Неакционные</t>
  </si>
  <si>
    <t>Формат</t>
  </si>
  <si>
    <t>Адрес</t>
  </si>
  <si>
    <t>RJKAM_Город</t>
  </si>
  <si>
    <t>Комментарий</t>
  </si>
  <si>
    <t>ТС</t>
  </si>
  <si>
    <t>Код точки на NCSD</t>
  </si>
  <si>
    <t>ЦП / ЗП</t>
  </si>
  <si>
    <t>${reportItem.type}</t>
  </si>
  <si>
    <t>${reportItem.nkaName}</t>
  </si>
  <si>
    <t>${reportItem.clientId}</t>
  </si>
  <si>
    <t>${reportItem.clientAddress}</t>
  </si>
  <si>
    <t>${reportItem.mzPlan}</t>
  </si>
  <si>
    <t>${reportItem.kPlan}</t>
  </si>
  <si>
    <t>${reportItem.sPlan}</t>
  </si>
  <si>
    <t>${reportItem.mzDp}</t>
  </si>
  <si>
    <t>${reportItem.mzBb}</t>
  </si>
  <si>
    <t>${reportItem.kDp}</t>
  </si>
  <si>
    <t>${reportItem.kBb}</t>
  </si>
  <si>
    <t>${reportItem.kMr}</t>
  </si>
  <si>
    <t>${reportItem.mzMr}</t>
  </si>
  <si>
    <t>${reportItem.sDp}</t>
  </si>
  <si>
    <t>${reportItem.sBb}</t>
  </si>
  <si>
    <t>${reportItem.sMr}</t>
  </si>
  <si>
    <t>${reportItem.mzDouble}</t>
  </si>
  <si>
    <t>${reportItem.kDouble}</t>
  </si>
  <si>
    <t>${reportItem.sDouble}</t>
  </si>
  <si>
    <t>${reportItem.mzComment}</t>
  </si>
  <si>
    <t>${reportItem.kComment}</t>
  </si>
  <si>
    <t>${reportItem.sComment}</t>
  </si>
  <si>
    <t>Название ТК</t>
  </si>
  <si>
    <t>Код сотрудника</t>
  </si>
  <si>
    <t>Вып - ие, %</t>
  </si>
  <si>
    <t>Итог</t>
  </si>
  <si>
    <t>Код</t>
  </si>
  <si>
    <t>${reportItem.clientName}</t>
  </si>
  <si>
    <t>${reportItem.mzDmAPlan}</t>
  </si>
  <si>
    <t>${reportItem.kDmAPlan}</t>
  </si>
  <si>
    <t>${reportItem.sDmAPlan}</t>
  </si>
  <si>
    <t>${reportItem.mzDmA}</t>
  </si>
  <si>
    <t>${reportItem.kDmA}</t>
  </si>
  <si>
    <t>${reportItem.sDmA}</t>
  </si>
  <si>
    <t>${reportItem.mzDmNa}</t>
  </si>
  <si>
    <t>${reportItem.kDmNa}</t>
  </si>
  <si>
    <t>${reportItem.sDmNa}</t>
  </si>
  <si>
    <t>${rjkamGroup.item.id}</t>
  </si>
  <si>
    <t>${rjkamGroup.item.name}</t>
  </si>
  <si>
    <t>${repGroup.item.nkaId}</t>
  </si>
  <si>
    <t>${repGroup.item.nkaName}</t>
  </si>
  <si>
    <t>Дата послед. фото</t>
  </si>
  <si>
    <t>${reportItem.lastPhotoDate}</t>
  </si>
  <si>
    <t>Свод выполнения RJKAM ключевых показателей (свод по Сети)</t>
  </si>
  <si>
    <t>RJKAM / Сеть</t>
  </si>
  <si>
    <t>АКБ</t>
  </si>
  <si>
    <t>Акционные ДМП</t>
  </si>
  <si>
    <t>Неакционные ДМП</t>
  </si>
  <si>
    <t>сети / RJKAM</t>
  </si>
  <si>
    <t>ГМ</t>
  </si>
  <si>
    <t>СМ</t>
  </si>
  <si>
    <t>1 нед</t>
  </si>
  <si>
    <t>2 нед</t>
  </si>
  <si>
    <t>3 нед</t>
  </si>
  <si>
    <t>4 нед</t>
  </si>
  <si>
    <t>5 нед</t>
  </si>
  <si>
    <t>АО Тандер</t>
  </si>
  <si>
    <t>ООО Метро</t>
  </si>
  <si>
    <t>ООО Окей</t>
  </si>
  <si>
    <t>ООО Лента</t>
  </si>
  <si>
    <t>ООО Ашан</t>
  </si>
  <si>
    <t>ООО Атак</t>
  </si>
  <si>
    <t>Х5 RG</t>
  </si>
  <si>
    <t>Свод выполнения RJKAM ключевых показателей (по RJKAM)</t>
  </si>
  <si>
    <t>ФИО</t>
  </si>
  <si>
    <t>Полка, % выполнения</t>
  </si>
  <si>
    <t>Дубл-е выкладки, факт ТК</t>
  </si>
  <si>
    <t>Акционные ДМП, % выполнения</t>
  </si>
  <si>
    <t>Неакционные ДМП, факт ТК</t>
  </si>
  <si>
    <t>Беспятов В.</t>
  </si>
  <si>
    <t>Белова Н.</t>
  </si>
  <si>
    <t>Ермолович В.</t>
  </si>
  <si>
    <t>Воронова М.</t>
  </si>
  <si>
    <t>Шилкин Д.</t>
  </si>
  <si>
    <t>Долгошеев И.</t>
  </si>
  <si>
    <t>Штанг Е.</t>
  </si>
  <si>
    <t>Подсекина Т.</t>
  </si>
  <si>
    <t>Евдоков И.</t>
  </si>
  <si>
    <t>Ворновской Э.</t>
  </si>
  <si>
    <t>Галкина В.</t>
  </si>
  <si>
    <t>Назмутдинов В.</t>
  </si>
  <si>
    <t>Иванов В.</t>
  </si>
  <si>
    <t>Тептина Д.</t>
  </si>
  <si>
    <t>ООО Монетка</t>
  </si>
  <si>
    <t>Минхаеров А.</t>
  </si>
  <si>
    <t>Матвиец И.</t>
  </si>
  <si>
    <t>Самылин М.</t>
  </si>
  <si>
    <t>Всего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</si>
</sst>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9]d\ mmm;@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  <charset val="204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1" fillId="8" borderId="12" xfId="0" applyFont="1" applyFill="1" applyBorder="1" applyAlignment="1">
      <alignment horizontal="right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7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6" fontId="6" fillId="0" borderId="1" xfId="0" applyNumberFormat="1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NumberFormat="1" applyFont="1" applyFill="1" applyBorder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9" fontId="1" fillId="7" borderId="1" xfId="1" applyFont="1" applyFill="1" applyBorder="1" applyAlignment="1">
      <alignment horizontal="center" vertical="center" wrapText="1"/>
    </xf>
    <xf numFmtId="9" fontId="1" fillId="3" borderId="1" xfId="1" applyFont="1" applyFill="1" applyBorder="1" applyAlignment="1">
      <alignment horizontal="center" vertical="center" wrapText="1"/>
    </xf>
    <xf numFmtId="9" fontId="1" fillId="0" borderId="1" xfId="1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9" fontId="1" fillId="0" borderId="0" xfId="0" applyNumberFormat="1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9" fontId="1" fillId="0" borderId="0" xfId="0" applyNumberFormat="1" applyFont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9" fontId="2" fillId="6" borderId="19" xfId="0" applyNumberFormat="1" applyFont="1" applyFill="1" applyBorder="1" applyAlignment="1">
      <alignment horizontal="center" vertical="center"/>
    </xf>
    <xf numFmtId="3" fontId="2" fillId="2" borderId="19" xfId="0" applyNumberFormat="1" applyFont="1" applyFill="1" applyBorder="1" applyAlignment="1">
      <alignment horizontal="center" vertical="center"/>
    </xf>
    <xf numFmtId="3" fontId="2" fillId="5" borderId="19" xfId="0" applyNumberFormat="1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vertical="center"/>
    </xf>
    <xf numFmtId="0" fontId="1" fillId="4" borderId="22" xfId="0" applyFont="1" applyFill="1" applyBorder="1" applyAlignment="1">
      <alignment horizontal="center" vertical="center"/>
    </xf>
    <xf numFmtId="9" fontId="1" fillId="4" borderId="22" xfId="0" applyNumberFormat="1" applyFont="1" applyFill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23" xfId="0" applyFont="1" applyBorder="1" applyAlignment="1">
      <alignment horizontal="left" vertical="center" indent="2"/>
    </xf>
    <xf numFmtId="0" fontId="1" fillId="0" borderId="23" xfId="0" applyFont="1" applyBorder="1" applyAlignment="1">
      <alignment horizontal="center" vertical="center"/>
    </xf>
    <xf numFmtId="9" fontId="1" fillId="0" borderId="23" xfId="0" applyNumberFormat="1" applyFont="1" applyBorder="1" applyAlignment="1">
      <alignment vertical="center"/>
    </xf>
    <xf numFmtId="3" fontId="1" fillId="0" borderId="23" xfId="0" applyNumberFormat="1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24" xfId="0" applyFont="1" applyBorder="1" applyAlignment="1">
      <alignment horizontal="left" vertical="center" indent="2"/>
    </xf>
    <xf numFmtId="0" fontId="1" fillId="0" borderId="24" xfId="0" applyFont="1" applyBorder="1" applyAlignment="1">
      <alignment horizontal="center" vertical="center"/>
    </xf>
    <xf numFmtId="9" fontId="1" fillId="0" borderId="24" xfId="0" applyNumberFormat="1" applyFont="1" applyBorder="1" applyAlignment="1">
      <alignment vertical="center"/>
    </xf>
    <xf numFmtId="0" fontId="1" fillId="0" borderId="19" xfId="0" applyFont="1" applyBorder="1" applyAlignment="1">
      <alignment horizontal="left" vertical="center" indent="2"/>
    </xf>
    <xf numFmtId="0" fontId="1" fillId="0" borderId="19" xfId="0" applyFont="1" applyBorder="1" applyAlignment="1">
      <alignment horizontal="center" vertical="center"/>
    </xf>
    <xf numFmtId="9" fontId="1" fillId="0" borderId="19" xfId="0" applyNumberFormat="1" applyFont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1" fillId="4" borderId="15" xfId="0" applyFont="1" applyFill="1" applyBorder="1" applyAlignment="1">
      <alignment horizontal="center" vertical="center"/>
    </xf>
    <xf numFmtId="9" fontId="1" fillId="4" borderId="15" xfId="0" applyNumberFormat="1" applyFont="1" applyFill="1" applyBorder="1" applyAlignment="1">
      <alignment vertical="center"/>
    </xf>
    <xf numFmtId="3" fontId="1" fillId="4" borderId="15" xfId="0" applyNumberFormat="1" applyFont="1" applyFill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4" borderId="23" xfId="0" applyFont="1" applyFill="1" applyBorder="1" applyAlignment="1">
      <alignment vertical="center"/>
    </xf>
    <xf numFmtId="0" fontId="1" fillId="4" borderId="23" xfId="0" applyFont="1" applyFill="1" applyBorder="1" applyAlignment="1">
      <alignment horizontal="center" vertical="center"/>
    </xf>
    <xf numFmtId="9" fontId="1" fillId="4" borderId="23" xfId="0" applyNumberFormat="1" applyFont="1" applyFill="1" applyBorder="1" applyAlignment="1">
      <alignment vertical="center"/>
    </xf>
    <xf numFmtId="3" fontId="1" fillId="4" borderId="23" xfId="0" applyNumberFormat="1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9" fontId="1" fillId="6" borderId="19" xfId="0" applyNumberFormat="1" applyFont="1" applyFill="1" applyBorder="1" applyAlignment="1">
      <alignment vertical="center"/>
    </xf>
    <xf numFmtId="3" fontId="1" fillId="6" borderId="19" xfId="0" applyNumberFormat="1" applyFont="1" applyFill="1" applyBorder="1" applyAlignment="1">
      <alignment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9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3" fontId="1" fillId="0" borderId="23" xfId="0" applyNumberFormat="1" applyFont="1" applyFill="1" applyBorder="1" applyAlignment="1">
      <alignment vertical="center"/>
    </xf>
    <xf numFmtId="9" fontId="1" fillId="0" borderId="23" xfId="0" applyNumberFormat="1" applyFont="1" applyFill="1" applyBorder="1" applyAlignment="1">
      <alignment vertical="center"/>
    </xf>
    <xf numFmtId="9" fontId="2" fillId="5" borderId="20" xfId="0" applyNumberFormat="1" applyFont="1" applyFill="1" applyBorder="1" applyAlignment="1">
      <alignment horizontal="center" vertical="center"/>
    </xf>
    <xf numFmtId="9" fontId="2" fillId="5" borderId="21" xfId="0" applyNumberFormat="1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9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2" fillId="11" borderId="18" xfId="0" applyFont="1" applyFill="1" applyBorder="1" applyAlignment="1">
      <alignment horizontal="center" vertical="center"/>
    </xf>
    <xf numFmtId="9" fontId="2" fillId="6" borderId="15" xfId="0" applyNumberFormat="1" applyFont="1" applyFill="1" applyBorder="1" applyAlignment="1">
      <alignment horizontal="center" vertical="center"/>
    </xf>
    <xf numFmtId="3" fontId="2" fillId="2" borderId="15" xfId="0" applyNumberFormat="1" applyFont="1" applyFill="1" applyBorder="1" applyAlignment="1">
      <alignment horizontal="center" vertical="center"/>
    </xf>
    <xf numFmtId="9" fontId="2" fillId="5" borderId="15" xfId="0" applyNumberFormat="1" applyFont="1" applyFill="1" applyBorder="1" applyAlignment="1">
      <alignment horizontal="center" vertical="center"/>
    </xf>
    <xf numFmtId="3" fontId="2" fillId="5" borderId="15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3" fillId="9" borderId="5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9" borderId="6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9" fontId="1" fillId="5" borderId="5" xfId="0" applyNumberFormat="1" applyFont="1" applyFill="1" applyBorder="1" applyAlignment="1">
      <alignment horizontal="center" vertical="center" wrapText="1"/>
    </xf>
    <xf numFmtId="9" fontId="1" fillId="5" borderId="6" xfId="0" applyNumberFormat="1" applyFont="1" applyFill="1" applyBorder="1" applyAlignment="1">
      <alignment horizontal="center" vertical="center" wrapText="1"/>
    </xf>
    <xf numFmtId="9" fontId="1" fillId="6" borderId="5" xfId="0" applyNumberFormat="1" applyFont="1" applyFill="1" applyBorder="1" applyAlignment="1">
      <alignment horizontal="center" vertical="center" wrapText="1"/>
    </xf>
    <xf numFmtId="9" fontId="1" fillId="6" borderId="13" xfId="0" applyNumberFormat="1" applyFont="1" applyFill="1" applyBorder="1" applyAlignment="1">
      <alignment horizontal="center" vertical="center" wrapText="1"/>
    </xf>
    <xf numFmtId="9" fontId="1" fillId="6" borderId="6" xfId="0" applyNumberFormat="1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3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4"/>
      <tableStyleElement type="headerRow" dxfId="33"/>
    </tableStyle>
  </tableStyles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302559</xdr:colOff>
      <xdr:row>15</xdr:row>
      <xdr:rowOff>56029</xdr:rowOff>
    </xdr:from>
    <xdr:to>
      <xdr:col>6</xdr:col>
      <xdr:colOff>549088</xdr:colOff>
      <xdr:row>22</xdr:row>
      <xdr:rowOff>78442</xdr:rowOff>
    </xdr:to>
    <xdr:sp macro="[0]!Full_svod_rjkam" textlink="">
      <xdr:nvSpPr>
        <xdr:cNvPr id="2" name="Улыбающееся лицо 1"/>
        <xdr:cNvSpPr/>
      </xdr:nvSpPr>
      <xdr:spPr>
        <a:xfrm>
          <a:off x="4672853" y="2633382"/>
          <a:ext cx="1243853" cy="1120589"/>
        </a:xfrm>
        <a:prstGeom prst="smileyFac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E81"/>
  <sheetViews>
    <sheetView showZeros="0" zoomScale="80" zoomScaleNormal="80" workbookViewId="0">
      <pane ySplit="5" topLeftCell="A6" activePane="bottomLeft" state="frozen"/>
      <selection activeCell="M24" sqref="M24"/>
      <selection pane="bottomLeft" activeCell="Q13" sqref="Q13"/>
    </sheetView>
  </sheetViews>
  <sheetFormatPr defaultRowHeight="12.75" outlineLevelCol="1" x14ac:dyDescent="0.25"/>
  <cols>
    <col min="1" max="1" width="5.140625" style="38" customWidth="1"/>
    <col min="2" max="2" width="12.42578125" style="38" hidden="1" customWidth="1" outlineLevel="1"/>
    <col min="3" max="3" width="21.42578125" style="38" customWidth="1" collapsed="1"/>
    <col min="4" max="6" width="5.5703125" style="39" customWidth="1"/>
    <col min="7" max="11" width="7.85546875" style="40" customWidth="1"/>
    <col min="12" max="16" width="7.85546875" style="41" customWidth="1"/>
    <col min="17" max="26" width="7.85546875" style="40" customWidth="1"/>
    <col min="27" max="31" width="7.85546875" style="41" customWidth="1"/>
    <col min="32" max="16384" width="9.140625" style="38"/>
  </cols>
  <sheetData>
    <row r="1" spans="1:31" ht="15" customHeight="1" x14ac:dyDescent="0.25">
      <c r="AD1" s="83">
        <f ca="1">TODAY()</f>
        <v>42964</v>
      </c>
      <c r="AE1" s="83"/>
    </row>
    <row r="2" spans="1:31" ht="15" x14ac:dyDescent="0.25">
      <c r="A2" s="42" t="s">
        <v>68</v>
      </c>
      <c r="B2" s="42"/>
    </row>
    <row r="3" spans="1:31" x14ac:dyDescent="0.25">
      <c r="G3" s="43"/>
      <c r="H3" s="43"/>
      <c r="I3" s="43"/>
      <c r="J3" s="43"/>
      <c r="K3" s="43"/>
      <c r="L3" s="44"/>
      <c r="M3" s="44"/>
      <c r="N3" s="44"/>
      <c r="O3" s="44"/>
      <c r="P3" s="44"/>
      <c r="Q3" s="43"/>
      <c r="R3" s="43"/>
      <c r="S3" s="43"/>
      <c r="T3" s="43"/>
      <c r="U3" s="43"/>
      <c r="V3" s="43"/>
      <c r="W3" s="43"/>
      <c r="X3" s="43"/>
      <c r="Y3" s="43"/>
      <c r="Z3" s="43"/>
      <c r="AA3" s="44"/>
      <c r="AB3" s="44"/>
      <c r="AC3" s="44"/>
      <c r="AD3" s="44"/>
      <c r="AE3" s="44"/>
    </row>
    <row r="4" spans="1:31" ht="17.25" customHeight="1" x14ac:dyDescent="0.25">
      <c r="A4" s="84" t="s">
        <v>7</v>
      </c>
      <c r="B4" s="76" t="s">
        <v>51</v>
      </c>
      <c r="C4" s="84" t="s">
        <v>69</v>
      </c>
      <c r="D4" s="86" t="s">
        <v>70</v>
      </c>
      <c r="E4" s="87"/>
      <c r="F4" s="88"/>
      <c r="G4" s="89" t="s">
        <v>4</v>
      </c>
      <c r="H4" s="89"/>
      <c r="I4" s="89"/>
      <c r="J4" s="89"/>
      <c r="K4" s="89"/>
      <c r="L4" s="90" t="s">
        <v>8</v>
      </c>
      <c r="M4" s="90"/>
      <c r="N4" s="90"/>
      <c r="O4" s="90"/>
      <c r="P4" s="90"/>
      <c r="Q4" s="91" t="s">
        <v>71</v>
      </c>
      <c r="R4" s="91"/>
      <c r="S4" s="91"/>
      <c r="T4" s="91"/>
      <c r="U4" s="91"/>
      <c r="V4" s="91"/>
      <c r="W4" s="91"/>
      <c r="X4" s="91"/>
      <c r="Y4" s="91"/>
      <c r="Z4" s="91"/>
      <c r="AA4" s="92" t="s">
        <v>72</v>
      </c>
      <c r="AB4" s="92"/>
      <c r="AC4" s="92"/>
      <c r="AD4" s="92"/>
      <c r="AE4" s="92"/>
    </row>
    <row r="5" spans="1:31" ht="17.25" customHeight="1" x14ac:dyDescent="0.25">
      <c r="A5" s="85"/>
      <c r="B5" s="77" t="s">
        <v>73</v>
      </c>
      <c r="C5" s="85"/>
      <c r="D5" s="77" t="s">
        <v>74</v>
      </c>
      <c r="E5" s="77" t="s">
        <v>75</v>
      </c>
      <c r="F5" s="77" t="s">
        <v>50</v>
      </c>
      <c r="G5" s="45" t="s">
        <v>76</v>
      </c>
      <c r="H5" s="45" t="s">
        <v>77</v>
      </c>
      <c r="I5" s="45" t="s">
        <v>78</v>
      </c>
      <c r="J5" s="45" t="s">
        <v>79</v>
      </c>
      <c r="K5" s="45" t="s">
        <v>80</v>
      </c>
      <c r="L5" s="46" t="s">
        <v>76</v>
      </c>
      <c r="M5" s="46" t="s">
        <v>77</v>
      </c>
      <c r="N5" s="46" t="s">
        <v>78</v>
      </c>
      <c r="O5" s="46" t="s">
        <v>79</v>
      </c>
      <c r="P5" s="46" t="s">
        <v>80</v>
      </c>
      <c r="Q5" s="81" t="s">
        <v>76</v>
      </c>
      <c r="R5" s="82"/>
      <c r="S5" s="81" t="s">
        <v>77</v>
      </c>
      <c r="T5" s="82"/>
      <c r="U5" s="81" t="s">
        <v>78</v>
      </c>
      <c r="V5" s="82"/>
      <c r="W5" s="81" t="s">
        <v>79</v>
      </c>
      <c r="X5" s="82"/>
      <c r="Y5" s="81" t="s">
        <v>80</v>
      </c>
      <c r="Z5" s="82"/>
      <c r="AA5" s="47" t="s">
        <v>76</v>
      </c>
      <c r="AB5" s="47" t="s">
        <v>77</v>
      </c>
      <c r="AC5" s="47" t="s">
        <v>78</v>
      </c>
      <c r="AD5" s="47" t="s">
        <v>79</v>
      </c>
      <c r="AE5" s="47" t="s">
        <v>80</v>
      </c>
    </row>
    <row r="6" spans="1:31" ht="15.75" customHeight="1" x14ac:dyDescent="0.25">
      <c r="A6" s="48">
        <v>1</v>
      </c>
      <c r="B6" s="48">
        <v>4639</v>
      </c>
      <c r="C6" s="48" t="s">
        <v>81</v>
      </c>
      <c r="D6" s="49">
        <f>SUM(D7:D17)</f>
        <v>102</v>
      </c>
      <c r="E6" s="49">
        <f>SUM(E7:E17)</f>
        <v>0</v>
      </c>
      <c r="F6" s="49">
        <f>SUM(F7:F17)</f>
        <v>102</v>
      </c>
      <c r="G6" s="50">
        <f>AVERAGE(G7:G17)</f>
        <v>0</v>
      </c>
      <c r="H6" s="50">
        <f t="shared" ref="H6:AE6" si="0">AVERAGE(H7:H17)</f>
        <v>0</v>
      </c>
      <c r="I6" s="50">
        <f t="shared" si="0"/>
        <v>0</v>
      </c>
      <c r="J6" s="50">
        <f t="shared" si="0"/>
        <v>0</v>
      </c>
      <c r="K6" s="50">
        <f t="shared" si="0"/>
        <v>0</v>
      </c>
      <c r="L6" s="50">
        <f t="shared" si="0"/>
        <v>0</v>
      </c>
      <c r="M6" s="50">
        <f t="shared" si="0"/>
        <v>0</v>
      </c>
      <c r="N6" s="50">
        <f t="shared" si="0"/>
        <v>0</v>
      </c>
      <c r="O6" s="50">
        <f t="shared" si="0"/>
        <v>0</v>
      </c>
      <c r="P6" s="50">
        <f t="shared" si="0"/>
        <v>0</v>
      </c>
      <c r="Q6" s="50">
        <f t="shared" si="0"/>
        <v>0</v>
      </c>
      <c r="R6" s="50">
        <f t="shared" si="0"/>
        <v>0</v>
      </c>
      <c r="S6" s="50">
        <f t="shared" si="0"/>
        <v>0</v>
      </c>
      <c r="T6" s="50">
        <f t="shared" si="0"/>
        <v>0</v>
      </c>
      <c r="U6" s="50">
        <f t="shared" si="0"/>
        <v>0</v>
      </c>
      <c r="V6" s="50">
        <f t="shared" si="0"/>
        <v>0</v>
      </c>
      <c r="W6" s="50">
        <f t="shared" si="0"/>
        <v>0</v>
      </c>
      <c r="X6" s="50">
        <f t="shared" si="0"/>
        <v>0</v>
      </c>
      <c r="Y6" s="50">
        <f t="shared" si="0"/>
        <v>0</v>
      </c>
      <c r="Z6" s="50">
        <f t="shared" si="0"/>
        <v>0</v>
      </c>
      <c r="AA6" s="50">
        <f t="shared" si="0"/>
        <v>0</v>
      </c>
      <c r="AB6" s="50">
        <f t="shared" si="0"/>
        <v>0</v>
      </c>
      <c r="AC6" s="50">
        <f t="shared" si="0"/>
        <v>0</v>
      </c>
      <c r="AD6" s="50">
        <f t="shared" si="0"/>
        <v>0</v>
      </c>
      <c r="AE6" s="50">
        <f t="shared" si="0"/>
        <v>0</v>
      </c>
    </row>
    <row r="7" spans="1:31" ht="15.75" customHeight="1" x14ac:dyDescent="0.25">
      <c r="A7" s="51">
        <v>1</v>
      </c>
      <c r="B7" s="52">
        <v>477431</v>
      </c>
      <c r="C7" s="52" t="str">
        <f>Свод_RJKAM!C6</f>
        <v>Беспятов В.</v>
      </c>
      <c r="D7" s="53">
        <f>Свод_RJKAM!E12</f>
        <v>14</v>
      </c>
      <c r="E7" s="53">
        <f>Свод_RJKAM!F12</f>
        <v>0</v>
      </c>
      <c r="F7" s="53">
        <f>Свод_RJKAM!G12</f>
        <v>14</v>
      </c>
      <c r="G7" s="54">
        <f>Свод_RJKAM!H12</f>
        <v>0</v>
      </c>
      <c r="H7" s="54">
        <f>Свод_RJKAM!I12</f>
        <v>0</v>
      </c>
      <c r="I7" s="54">
        <f>Свод_RJKAM!J12</f>
        <v>0</v>
      </c>
      <c r="J7" s="54">
        <f>Свод_RJKAM!K12</f>
        <v>0</v>
      </c>
      <c r="K7" s="54">
        <f>Свод_RJKAM!L12</f>
        <v>0</v>
      </c>
      <c r="L7" s="54">
        <f>Свод_RJKAM!M12</f>
        <v>0</v>
      </c>
      <c r="M7" s="54">
        <f>Свод_RJKAM!N12</f>
        <v>0</v>
      </c>
      <c r="N7" s="54">
        <f>Свод_RJKAM!O12</f>
        <v>0</v>
      </c>
      <c r="O7" s="54">
        <f>Свод_RJKAM!P12</f>
        <v>0</v>
      </c>
      <c r="P7" s="54">
        <f>Свод_RJKAM!Q12</f>
        <v>0</v>
      </c>
      <c r="Q7" s="54">
        <f>Свод_RJKAM!R12</f>
        <v>0</v>
      </c>
      <c r="R7" s="54">
        <f>Свод_RJKAM!S12</f>
        <v>0</v>
      </c>
      <c r="S7" s="54">
        <f>Свод_RJKAM!T12</f>
        <v>0</v>
      </c>
      <c r="T7" s="54">
        <f>Свод_RJKAM!U12</f>
        <v>0</v>
      </c>
      <c r="U7" s="54">
        <f>Свод_RJKAM!V12</f>
        <v>0</v>
      </c>
      <c r="V7" s="54">
        <f>Свод_RJKAM!W12</f>
        <v>0</v>
      </c>
      <c r="W7" s="54">
        <f>Свод_RJKAM!X12</f>
        <v>0</v>
      </c>
      <c r="X7" s="54">
        <f>Свод_RJKAM!Y12</f>
        <v>0</v>
      </c>
      <c r="Y7" s="54">
        <f>Свод_RJKAM!Z12</f>
        <v>0</v>
      </c>
      <c r="Z7" s="54">
        <f>Свод_RJKAM!AA12</f>
        <v>0</v>
      </c>
      <c r="AA7" s="54">
        <f>Свод_RJKAM!AB12</f>
        <v>0</v>
      </c>
      <c r="AB7" s="54">
        <f>Свод_RJKAM!AC12</f>
        <v>0</v>
      </c>
      <c r="AC7" s="54">
        <f>Свод_RJKAM!AD12</f>
        <v>0</v>
      </c>
      <c r="AD7" s="54">
        <f>Свод_RJKAM!AE12</f>
        <v>0</v>
      </c>
      <c r="AE7" s="54">
        <f>Свод_RJKAM!AF12</f>
        <v>0</v>
      </c>
    </row>
    <row r="8" spans="1:31" ht="15.75" customHeight="1" x14ac:dyDescent="0.25">
      <c r="A8" s="56">
        <f>A7+1</f>
        <v>2</v>
      </c>
      <c r="B8" s="57">
        <v>478488</v>
      </c>
      <c r="C8" s="57" t="str">
        <f>Свод_RJKAM!C13</f>
        <v>Белова Н.</v>
      </c>
      <c r="D8" s="58">
        <f>Свод_RJKAM!E18</f>
        <v>7</v>
      </c>
      <c r="E8" s="58">
        <f>Свод_RJKAM!F18</f>
        <v>0</v>
      </c>
      <c r="F8" s="58">
        <f>Свод_RJKAM!G18</f>
        <v>7</v>
      </c>
      <c r="G8" s="59">
        <f>Свод_RJKAM!H18</f>
        <v>0</v>
      </c>
      <c r="H8" s="59">
        <f>Свод_RJKAM!I18</f>
        <v>0</v>
      </c>
      <c r="I8" s="59">
        <f>Свод_RJKAM!J18</f>
        <v>0</v>
      </c>
      <c r="J8" s="59">
        <f>Свод_RJKAM!K18</f>
        <v>0</v>
      </c>
      <c r="K8" s="59">
        <f>Свод_RJKAM!L18</f>
        <v>0</v>
      </c>
      <c r="L8" s="59">
        <f>Свод_RJKAM!M18</f>
        <v>0</v>
      </c>
      <c r="M8" s="59">
        <f>Свод_RJKAM!N18</f>
        <v>0</v>
      </c>
      <c r="N8" s="59">
        <f>Свод_RJKAM!O18</f>
        <v>0</v>
      </c>
      <c r="O8" s="59">
        <f>Свод_RJKAM!P18</f>
        <v>0</v>
      </c>
      <c r="P8" s="59">
        <f>Свод_RJKAM!Q18</f>
        <v>0</v>
      </c>
      <c r="Q8" s="59">
        <f>Свод_RJKAM!R18</f>
        <v>0</v>
      </c>
      <c r="R8" s="59">
        <f>Свод_RJKAM!S18</f>
        <v>0</v>
      </c>
      <c r="S8" s="59">
        <f>Свод_RJKAM!T18</f>
        <v>0</v>
      </c>
      <c r="T8" s="59">
        <f>Свод_RJKAM!U18</f>
        <v>0</v>
      </c>
      <c r="U8" s="59">
        <f>Свод_RJKAM!V18</f>
        <v>0</v>
      </c>
      <c r="V8" s="59">
        <f>Свод_RJKAM!W18</f>
        <v>0</v>
      </c>
      <c r="W8" s="59">
        <f>Свод_RJKAM!X18</f>
        <v>0</v>
      </c>
      <c r="X8" s="59">
        <f>Свод_RJKAM!Y18</f>
        <v>0</v>
      </c>
      <c r="Y8" s="59">
        <f>Свод_RJKAM!Z18</f>
        <v>0</v>
      </c>
      <c r="Z8" s="59">
        <f>Свод_RJKAM!AA18</f>
        <v>0</v>
      </c>
      <c r="AA8" s="59">
        <f>Свод_RJKAM!AB18</f>
        <v>0</v>
      </c>
      <c r="AB8" s="59">
        <f>Свод_RJKAM!AC18</f>
        <v>0</v>
      </c>
      <c r="AC8" s="59">
        <f>Свод_RJKAM!AD18</f>
        <v>0</v>
      </c>
      <c r="AD8" s="59">
        <f>Свод_RJKAM!AE18</f>
        <v>0</v>
      </c>
      <c r="AE8" s="59">
        <f>Свод_RJKAM!AF18</f>
        <v>0</v>
      </c>
    </row>
    <row r="9" spans="1:31" ht="15.75" customHeight="1" x14ac:dyDescent="0.25">
      <c r="A9" s="56">
        <f t="shared" ref="A9:A17" si="1">A8+1</f>
        <v>3</v>
      </c>
      <c r="B9" s="57">
        <v>476998</v>
      </c>
      <c r="C9" s="57" t="str">
        <f>Свод_RJKAM!D24</f>
        <v>Воронова М.</v>
      </c>
      <c r="D9" s="58">
        <f>Свод_RJKAM!E24</f>
        <v>11</v>
      </c>
      <c r="E9" s="58">
        <f>Свод_RJKAM!F24</f>
        <v>0</v>
      </c>
      <c r="F9" s="58">
        <f>Свод_RJKAM!G24</f>
        <v>11</v>
      </c>
      <c r="G9" s="59">
        <f>Свод_RJKAM!H24</f>
        <v>0</v>
      </c>
      <c r="H9" s="59">
        <f>Свод_RJKAM!I24</f>
        <v>0</v>
      </c>
      <c r="I9" s="59">
        <f>Свод_RJKAM!J24</f>
        <v>0</v>
      </c>
      <c r="J9" s="59">
        <f>Свод_RJKAM!K24</f>
        <v>0</v>
      </c>
      <c r="K9" s="59">
        <f>Свод_RJKAM!L24</f>
        <v>0</v>
      </c>
      <c r="L9" s="59">
        <f>Свод_RJKAM!M24</f>
        <v>0</v>
      </c>
      <c r="M9" s="59">
        <f>Свод_RJKAM!N24</f>
        <v>0</v>
      </c>
      <c r="N9" s="59">
        <f>Свод_RJKAM!O24</f>
        <v>0</v>
      </c>
      <c r="O9" s="59">
        <f>Свод_RJKAM!P24</f>
        <v>0</v>
      </c>
      <c r="P9" s="59">
        <f>Свод_RJKAM!Q24</f>
        <v>0</v>
      </c>
      <c r="Q9" s="59">
        <f>Свод_RJKAM!R24</f>
        <v>0</v>
      </c>
      <c r="R9" s="59">
        <f>Свод_RJKAM!S24</f>
        <v>0</v>
      </c>
      <c r="S9" s="59">
        <f>Свод_RJKAM!T24</f>
        <v>0</v>
      </c>
      <c r="T9" s="59">
        <f>Свод_RJKAM!U24</f>
        <v>0</v>
      </c>
      <c r="U9" s="59">
        <f>Свод_RJKAM!V24</f>
        <v>0</v>
      </c>
      <c r="V9" s="59">
        <f>Свод_RJKAM!W24</f>
        <v>0</v>
      </c>
      <c r="W9" s="59">
        <f>Свод_RJKAM!X24</f>
        <v>0</v>
      </c>
      <c r="X9" s="59">
        <f>Свод_RJKAM!Y24</f>
        <v>0</v>
      </c>
      <c r="Y9" s="59">
        <f>Свод_RJKAM!Z24</f>
        <v>0</v>
      </c>
      <c r="Z9" s="59">
        <f>Свод_RJKAM!AA24</f>
        <v>0</v>
      </c>
      <c r="AA9" s="59">
        <f>Свод_RJKAM!AB24</f>
        <v>0</v>
      </c>
      <c r="AB9" s="59">
        <f>Свод_RJKAM!AC24</f>
        <v>0</v>
      </c>
      <c r="AC9" s="59">
        <f>Свод_RJKAM!AD24</f>
        <v>0</v>
      </c>
      <c r="AD9" s="59">
        <f>Свод_RJKAM!AE24</f>
        <v>0</v>
      </c>
      <c r="AE9" s="59">
        <f>Свод_RJKAM!AF24</f>
        <v>0</v>
      </c>
    </row>
    <row r="10" spans="1:31" ht="15.75" customHeight="1" x14ac:dyDescent="0.25">
      <c r="A10" s="56">
        <f t="shared" si="1"/>
        <v>4</v>
      </c>
      <c r="B10" s="57">
        <v>476735</v>
      </c>
      <c r="C10" s="57" t="str">
        <f>Свод_RJKAM!D43</f>
        <v>Ворновской Э.</v>
      </c>
      <c r="D10" s="58">
        <f>Свод_RJKAM!E43</f>
        <v>18</v>
      </c>
      <c r="E10" s="58">
        <f>Свод_RJKAM!F43</f>
        <v>0</v>
      </c>
      <c r="F10" s="58">
        <f>Свод_RJKAM!G43</f>
        <v>18</v>
      </c>
      <c r="G10" s="59">
        <f>Свод_RJKAM!H43</f>
        <v>0</v>
      </c>
      <c r="H10" s="59">
        <f>Свод_RJKAM!I43</f>
        <v>0</v>
      </c>
      <c r="I10" s="59">
        <f>Свод_RJKAM!J43</f>
        <v>0</v>
      </c>
      <c r="J10" s="59">
        <f>Свод_RJKAM!K43</f>
        <v>0</v>
      </c>
      <c r="K10" s="59">
        <f>Свод_RJKAM!L43</f>
        <v>0</v>
      </c>
      <c r="L10" s="59">
        <f>Свод_RJKAM!M43</f>
        <v>0</v>
      </c>
      <c r="M10" s="59">
        <f>Свод_RJKAM!N43</f>
        <v>0</v>
      </c>
      <c r="N10" s="59">
        <f>Свод_RJKAM!O43</f>
        <v>0</v>
      </c>
      <c r="O10" s="59">
        <f>Свод_RJKAM!P43</f>
        <v>0</v>
      </c>
      <c r="P10" s="59">
        <f>Свод_RJKAM!Q43</f>
        <v>0</v>
      </c>
      <c r="Q10" s="59">
        <f>Свод_RJKAM!R43</f>
        <v>0</v>
      </c>
      <c r="R10" s="59">
        <f>Свод_RJKAM!S43</f>
        <v>0</v>
      </c>
      <c r="S10" s="59">
        <f>Свод_RJKAM!T43</f>
        <v>0</v>
      </c>
      <c r="T10" s="59">
        <f>Свод_RJKAM!U43</f>
        <v>0</v>
      </c>
      <c r="U10" s="59">
        <f>Свод_RJKAM!V43</f>
        <v>0</v>
      </c>
      <c r="V10" s="59">
        <f>Свод_RJKAM!W43</f>
        <v>0</v>
      </c>
      <c r="W10" s="59">
        <f>Свод_RJKAM!X43</f>
        <v>0</v>
      </c>
      <c r="X10" s="59">
        <f>Свод_RJKAM!Y43</f>
        <v>0</v>
      </c>
      <c r="Y10" s="59">
        <f>Свод_RJKAM!Z43</f>
        <v>0</v>
      </c>
      <c r="Z10" s="59">
        <f>Свод_RJKAM!AA43</f>
        <v>0</v>
      </c>
      <c r="AA10" s="59">
        <f>Свод_RJKAM!AB43</f>
        <v>0</v>
      </c>
      <c r="AB10" s="59">
        <f>Свод_RJKAM!AC43</f>
        <v>0</v>
      </c>
      <c r="AC10" s="59">
        <f>Свод_RJKAM!AD43</f>
        <v>0</v>
      </c>
      <c r="AD10" s="59">
        <f>Свод_RJKAM!AE43</f>
        <v>0</v>
      </c>
      <c r="AE10" s="59">
        <f>Свод_RJKAM!AF43</f>
        <v>0</v>
      </c>
    </row>
    <row r="11" spans="1:31" ht="15.75" customHeight="1" x14ac:dyDescent="0.25">
      <c r="A11" s="56">
        <f t="shared" si="1"/>
        <v>5</v>
      </c>
      <c r="B11" s="57">
        <v>476904</v>
      </c>
      <c r="C11" s="57" t="str">
        <f>Свод_RJKAM!D50</f>
        <v>Галкина В.</v>
      </c>
      <c r="D11" s="58">
        <f>Свод_RJKAM!E50</f>
        <v>9</v>
      </c>
      <c r="E11" s="58">
        <f>Свод_RJKAM!F50</f>
        <v>0</v>
      </c>
      <c r="F11" s="58">
        <f>Свод_RJKAM!G50</f>
        <v>9</v>
      </c>
      <c r="G11" s="59">
        <f>Свод_RJKAM!H50</f>
        <v>0</v>
      </c>
      <c r="H11" s="59">
        <f>Свод_RJKAM!I50</f>
        <v>0</v>
      </c>
      <c r="I11" s="59">
        <f>Свод_RJKAM!J50</f>
        <v>0</v>
      </c>
      <c r="J11" s="59">
        <f>Свод_RJKAM!K50</f>
        <v>0</v>
      </c>
      <c r="K11" s="59">
        <f>Свод_RJKAM!L50</f>
        <v>0</v>
      </c>
      <c r="L11" s="59">
        <f>Свод_RJKAM!M50</f>
        <v>0</v>
      </c>
      <c r="M11" s="59">
        <f>Свод_RJKAM!N50</f>
        <v>0</v>
      </c>
      <c r="N11" s="59">
        <f>Свод_RJKAM!O50</f>
        <v>0</v>
      </c>
      <c r="O11" s="59">
        <f>Свод_RJKAM!P50</f>
        <v>0</v>
      </c>
      <c r="P11" s="59">
        <f>Свод_RJKAM!Q50</f>
        <v>0</v>
      </c>
      <c r="Q11" s="59">
        <f>Свод_RJKAM!R50</f>
        <v>0</v>
      </c>
      <c r="R11" s="59">
        <f>Свод_RJKAM!S50</f>
        <v>0</v>
      </c>
      <c r="S11" s="59">
        <f>Свод_RJKAM!T50</f>
        <v>0</v>
      </c>
      <c r="T11" s="59">
        <f>Свод_RJKAM!U50</f>
        <v>0</v>
      </c>
      <c r="U11" s="59">
        <f>Свод_RJKAM!V50</f>
        <v>0</v>
      </c>
      <c r="V11" s="59">
        <f>Свод_RJKAM!W50</f>
        <v>0</v>
      </c>
      <c r="W11" s="59">
        <f>Свод_RJKAM!X50</f>
        <v>0</v>
      </c>
      <c r="X11" s="59">
        <f>Свод_RJKAM!Y50</f>
        <v>0</v>
      </c>
      <c r="Y11" s="59">
        <f>Свод_RJKAM!Z50</f>
        <v>0</v>
      </c>
      <c r="Z11" s="59">
        <f>Свод_RJKAM!AA50</f>
        <v>0</v>
      </c>
      <c r="AA11" s="59">
        <f>Свод_RJKAM!AB50</f>
        <v>0</v>
      </c>
      <c r="AB11" s="59">
        <f>Свод_RJKAM!AC50</f>
        <v>0</v>
      </c>
      <c r="AC11" s="59">
        <f>Свод_RJKAM!AD50</f>
        <v>0</v>
      </c>
      <c r="AD11" s="59">
        <f>Свод_RJKAM!AE50</f>
        <v>0</v>
      </c>
      <c r="AE11" s="59">
        <f>Свод_RJKAM!AF50</f>
        <v>0</v>
      </c>
    </row>
    <row r="12" spans="1:31" ht="15.75" customHeight="1" x14ac:dyDescent="0.25">
      <c r="A12" s="56">
        <f t="shared" si="1"/>
        <v>6</v>
      </c>
      <c r="B12" s="57">
        <v>476900</v>
      </c>
      <c r="C12" s="57" t="str">
        <f>Свод_RJKAM!D57</f>
        <v>Назмутдинов В.</v>
      </c>
      <c r="D12" s="58">
        <f>Свод_RJKAM!E57</f>
        <v>7</v>
      </c>
      <c r="E12" s="58">
        <f>Свод_RJKAM!F57</f>
        <v>0</v>
      </c>
      <c r="F12" s="58">
        <f>Свод_RJKAM!G57</f>
        <v>7</v>
      </c>
      <c r="G12" s="59">
        <f>Свод_RJKAM!H57</f>
        <v>0</v>
      </c>
      <c r="H12" s="59">
        <f>Свод_RJKAM!I57</f>
        <v>0</v>
      </c>
      <c r="I12" s="59">
        <f>Свод_RJKAM!J57</f>
        <v>0</v>
      </c>
      <c r="J12" s="59">
        <f>Свод_RJKAM!K57</f>
        <v>0</v>
      </c>
      <c r="K12" s="59">
        <f>Свод_RJKAM!L57</f>
        <v>0</v>
      </c>
      <c r="L12" s="59">
        <f>Свод_RJKAM!M57</f>
        <v>0</v>
      </c>
      <c r="M12" s="59">
        <f>Свод_RJKAM!N57</f>
        <v>0</v>
      </c>
      <c r="N12" s="59">
        <f>Свод_RJKAM!O57</f>
        <v>0</v>
      </c>
      <c r="O12" s="59">
        <f>Свод_RJKAM!P57</f>
        <v>0</v>
      </c>
      <c r="P12" s="59">
        <f>Свод_RJKAM!Q57</f>
        <v>0</v>
      </c>
      <c r="Q12" s="59">
        <f>Свод_RJKAM!R57</f>
        <v>0</v>
      </c>
      <c r="R12" s="59">
        <f>Свод_RJKAM!S57</f>
        <v>0</v>
      </c>
      <c r="S12" s="59">
        <f>Свод_RJKAM!T57</f>
        <v>0</v>
      </c>
      <c r="T12" s="59">
        <f>Свод_RJKAM!U57</f>
        <v>0</v>
      </c>
      <c r="U12" s="59">
        <f>Свод_RJKAM!V57</f>
        <v>0</v>
      </c>
      <c r="V12" s="59">
        <f>Свод_RJKAM!W57</f>
        <v>0</v>
      </c>
      <c r="W12" s="59">
        <f>Свод_RJKAM!X57</f>
        <v>0</v>
      </c>
      <c r="X12" s="59">
        <f>Свод_RJKAM!Y57</f>
        <v>0</v>
      </c>
      <c r="Y12" s="59">
        <f>Свод_RJKAM!Z57</f>
        <v>0</v>
      </c>
      <c r="Z12" s="59">
        <f>Свод_RJKAM!AA57</f>
        <v>0</v>
      </c>
      <c r="AA12" s="59">
        <f>Свод_RJKAM!AB57</f>
        <v>0</v>
      </c>
      <c r="AB12" s="59">
        <f>Свод_RJKAM!AC57</f>
        <v>0</v>
      </c>
      <c r="AC12" s="59">
        <f>Свод_RJKAM!AD57</f>
        <v>0</v>
      </c>
      <c r="AD12" s="59">
        <f>Свод_RJKAM!AE57</f>
        <v>0</v>
      </c>
      <c r="AE12" s="59">
        <f>Свод_RJKAM!AF57</f>
        <v>0</v>
      </c>
    </row>
    <row r="13" spans="1:31" ht="15.75" customHeight="1" x14ac:dyDescent="0.25">
      <c r="A13" s="56">
        <f t="shared" si="1"/>
        <v>7</v>
      </c>
      <c r="B13" s="57">
        <v>477760</v>
      </c>
      <c r="C13" s="57" t="str">
        <f>Свод_RJKAM!D64</f>
        <v>Иванов В.</v>
      </c>
      <c r="D13" s="58">
        <f>Свод_RJKAM!E64</f>
        <v>13</v>
      </c>
      <c r="E13" s="58">
        <f>Свод_RJKAM!F64</f>
        <v>0</v>
      </c>
      <c r="F13" s="58">
        <f>Свод_RJKAM!G64</f>
        <v>13</v>
      </c>
      <c r="G13" s="59">
        <f>Свод_RJKAM!H64</f>
        <v>0</v>
      </c>
      <c r="H13" s="59">
        <f>Свод_RJKAM!I64</f>
        <v>0</v>
      </c>
      <c r="I13" s="59">
        <f>Свод_RJKAM!J64</f>
        <v>0</v>
      </c>
      <c r="J13" s="59">
        <f>Свод_RJKAM!K64</f>
        <v>0</v>
      </c>
      <c r="K13" s="59">
        <f>Свод_RJKAM!L64</f>
        <v>0</v>
      </c>
      <c r="L13" s="59">
        <f>Свод_RJKAM!M64</f>
        <v>0</v>
      </c>
      <c r="M13" s="59">
        <f>Свод_RJKAM!N64</f>
        <v>0</v>
      </c>
      <c r="N13" s="59">
        <f>Свод_RJKAM!O64</f>
        <v>0</v>
      </c>
      <c r="O13" s="59">
        <f>Свод_RJKAM!P64</f>
        <v>0</v>
      </c>
      <c r="P13" s="59">
        <f>Свод_RJKAM!Q64</f>
        <v>0</v>
      </c>
      <c r="Q13" s="59">
        <f>Свод_RJKAM!R64</f>
        <v>0</v>
      </c>
      <c r="R13" s="59">
        <f>Свод_RJKAM!S64</f>
        <v>0</v>
      </c>
      <c r="S13" s="59">
        <f>Свод_RJKAM!T64</f>
        <v>0</v>
      </c>
      <c r="T13" s="59">
        <f>Свод_RJKAM!U64</f>
        <v>0</v>
      </c>
      <c r="U13" s="59">
        <f>Свод_RJKAM!V64</f>
        <v>0</v>
      </c>
      <c r="V13" s="59">
        <f>Свод_RJKAM!W64</f>
        <v>0</v>
      </c>
      <c r="W13" s="59">
        <f>Свод_RJKAM!X64</f>
        <v>0</v>
      </c>
      <c r="X13" s="59">
        <f>Свод_RJKAM!Y64</f>
        <v>0</v>
      </c>
      <c r="Y13" s="59">
        <f>Свод_RJKAM!Z64</f>
        <v>0</v>
      </c>
      <c r="Z13" s="59">
        <f>Свод_RJKAM!AA64</f>
        <v>0</v>
      </c>
      <c r="AA13" s="59">
        <f>Свод_RJKAM!AB64</f>
        <v>0</v>
      </c>
      <c r="AB13" s="59">
        <f>Свод_RJKAM!AC64</f>
        <v>0</v>
      </c>
      <c r="AC13" s="59">
        <f>Свод_RJKAM!AD64</f>
        <v>0</v>
      </c>
      <c r="AD13" s="59">
        <f>Свод_RJKAM!AE64</f>
        <v>0</v>
      </c>
      <c r="AE13" s="59">
        <f>Свод_RJKAM!AF64</f>
        <v>0</v>
      </c>
    </row>
    <row r="14" spans="1:31" ht="15.75" customHeight="1" x14ac:dyDescent="0.25">
      <c r="A14" s="56">
        <f t="shared" si="1"/>
        <v>8</v>
      </c>
      <c r="B14" s="57">
        <v>477759</v>
      </c>
      <c r="C14" s="57" t="str">
        <f>Свод_RJKAM!D71</f>
        <v>Тептина Д.</v>
      </c>
      <c r="D14" s="58">
        <f>Свод_RJKAM!E71</f>
        <v>3</v>
      </c>
      <c r="E14" s="58">
        <f>Свод_RJKAM!F71</f>
        <v>0</v>
      </c>
      <c r="F14" s="58">
        <f>Свод_RJKAM!G71</f>
        <v>3</v>
      </c>
      <c r="G14" s="59">
        <f>Свод_RJKAM!H71</f>
        <v>0</v>
      </c>
      <c r="H14" s="59">
        <f>Свод_RJKAM!I71</f>
        <v>0</v>
      </c>
      <c r="I14" s="59">
        <f>Свод_RJKAM!J71</f>
        <v>0</v>
      </c>
      <c r="J14" s="59">
        <f>Свод_RJKAM!K71</f>
        <v>0</v>
      </c>
      <c r="K14" s="59">
        <f>Свод_RJKAM!L71</f>
        <v>0</v>
      </c>
      <c r="L14" s="59">
        <f>Свод_RJKAM!M71</f>
        <v>0</v>
      </c>
      <c r="M14" s="59">
        <f>Свод_RJKAM!N71</f>
        <v>0</v>
      </c>
      <c r="N14" s="59">
        <f>Свод_RJKAM!O71</f>
        <v>0</v>
      </c>
      <c r="O14" s="59">
        <f>Свод_RJKAM!P71</f>
        <v>0</v>
      </c>
      <c r="P14" s="59">
        <f>Свод_RJKAM!Q71</f>
        <v>0</v>
      </c>
      <c r="Q14" s="59">
        <f>Свод_RJKAM!R71</f>
        <v>0</v>
      </c>
      <c r="R14" s="59">
        <f>Свод_RJKAM!S71</f>
        <v>0</v>
      </c>
      <c r="S14" s="59">
        <f>Свод_RJKAM!T71</f>
        <v>0</v>
      </c>
      <c r="T14" s="59">
        <f>Свод_RJKAM!U71</f>
        <v>0</v>
      </c>
      <c r="U14" s="59">
        <f>Свод_RJKAM!V71</f>
        <v>0</v>
      </c>
      <c r="V14" s="59">
        <f>Свод_RJKAM!W71</f>
        <v>0</v>
      </c>
      <c r="W14" s="59">
        <f>Свод_RJKAM!X71</f>
        <v>0</v>
      </c>
      <c r="X14" s="59">
        <f>Свод_RJKAM!Y71</f>
        <v>0</v>
      </c>
      <c r="Y14" s="59">
        <f>Свод_RJKAM!Z71</f>
        <v>0</v>
      </c>
      <c r="Z14" s="59">
        <f>Свод_RJKAM!AA71</f>
        <v>0</v>
      </c>
      <c r="AA14" s="59">
        <f>Свод_RJKAM!AB71</f>
        <v>0</v>
      </c>
      <c r="AB14" s="59">
        <f>Свод_RJKAM!AC71</f>
        <v>0</v>
      </c>
      <c r="AC14" s="59">
        <f>Свод_RJKAM!AD71</f>
        <v>0</v>
      </c>
      <c r="AD14" s="59">
        <f>Свод_RJKAM!AE71</f>
        <v>0</v>
      </c>
      <c r="AE14" s="59">
        <f>Свод_RJKAM!AF71</f>
        <v>0</v>
      </c>
    </row>
    <row r="15" spans="1:31" ht="15.75" customHeight="1" x14ac:dyDescent="0.25">
      <c r="A15" s="56">
        <f t="shared" si="1"/>
        <v>9</v>
      </c>
      <c r="B15" s="57">
        <v>476091</v>
      </c>
      <c r="C15" s="57" t="str">
        <f>Свод_RJKAM!D77</f>
        <v>Минхаеров А.</v>
      </c>
      <c r="D15" s="58">
        <f>Свод_RJKAM!E77</f>
        <v>9</v>
      </c>
      <c r="E15" s="58">
        <f>Свод_RJKAM!F77</f>
        <v>0</v>
      </c>
      <c r="F15" s="58">
        <f>Свод_RJKAM!G77</f>
        <v>9</v>
      </c>
      <c r="G15" s="59">
        <f>Свод_RJKAM!H77</f>
        <v>0</v>
      </c>
      <c r="H15" s="59">
        <f>Свод_RJKAM!I77</f>
        <v>0</v>
      </c>
      <c r="I15" s="59">
        <f>Свод_RJKAM!J77</f>
        <v>0</v>
      </c>
      <c r="J15" s="59">
        <f>Свод_RJKAM!K77</f>
        <v>0</v>
      </c>
      <c r="K15" s="59">
        <f>Свод_RJKAM!L77</f>
        <v>0</v>
      </c>
      <c r="L15" s="59">
        <f>Свод_RJKAM!M77</f>
        <v>0</v>
      </c>
      <c r="M15" s="59">
        <f>Свод_RJKAM!N77</f>
        <v>0</v>
      </c>
      <c r="N15" s="59">
        <f>Свод_RJKAM!O77</f>
        <v>0</v>
      </c>
      <c r="O15" s="59">
        <f>Свод_RJKAM!P77</f>
        <v>0</v>
      </c>
      <c r="P15" s="59">
        <f>Свод_RJKAM!Q77</f>
        <v>0</v>
      </c>
      <c r="Q15" s="59">
        <f>Свод_RJKAM!R77</f>
        <v>0</v>
      </c>
      <c r="R15" s="59">
        <f>Свод_RJKAM!S77</f>
        <v>0</v>
      </c>
      <c r="S15" s="59">
        <f>Свод_RJKAM!T77</f>
        <v>0</v>
      </c>
      <c r="T15" s="59">
        <f>Свод_RJKAM!U77</f>
        <v>0</v>
      </c>
      <c r="U15" s="59">
        <f>Свод_RJKAM!V77</f>
        <v>0</v>
      </c>
      <c r="V15" s="59">
        <f>Свод_RJKAM!W77</f>
        <v>0</v>
      </c>
      <c r="W15" s="59">
        <f>Свод_RJKAM!X77</f>
        <v>0</v>
      </c>
      <c r="X15" s="59">
        <f>Свод_RJKAM!Y77</f>
        <v>0</v>
      </c>
      <c r="Y15" s="59">
        <f>Свод_RJKAM!Z77</f>
        <v>0</v>
      </c>
      <c r="Z15" s="59">
        <f>Свод_RJKAM!AA77</f>
        <v>0</v>
      </c>
      <c r="AA15" s="59">
        <f>Свод_RJKAM!AB77</f>
        <v>0</v>
      </c>
      <c r="AB15" s="59">
        <f>Свод_RJKAM!AC77</f>
        <v>0</v>
      </c>
      <c r="AC15" s="59">
        <f>Свод_RJKAM!AD77</f>
        <v>0</v>
      </c>
      <c r="AD15" s="59">
        <f>Свод_RJKAM!AE77</f>
        <v>0</v>
      </c>
      <c r="AE15" s="59">
        <f>Свод_RJKAM!AF77</f>
        <v>0</v>
      </c>
    </row>
    <row r="16" spans="1:31" ht="15.75" customHeight="1" x14ac:dyDescent="0.25">
      <c r="A16" s="56">
        <f t="shared" si="1"/>
        <v>10</v>
      </c>
      <c r="B16" s="57">
        <v>478485</v>
      </c>
      <c r="C16" s="57" t="str">
        <f>Свод_RJKAM!D84</f>
        <v>Матвиец И.</v>
      </c>
      <c r="D16" s="58">
        <f>Свод_RJKAM!E84</f>
        <v>5</v>
      </c>
      <c r="E16" s="58">
        <f>Свод_RJKAM!F84</f>
        <v>0</v>
      </c>
      <c r="F16" s="58">
        <f>Свод_RJKAM!G84</f>
        <v>5</v>
      </c>
      <c r="G16" s="59">
        <f>Свод_RJKAM!H84</f>
        <v>0</v>
      </c>
      <c r="H16" s="59">
        <f>Свод_RJKAM!I84</f>
        <v>0</v>
      </c>
      <c r="I16" s="59">
        <f>Свод_RJKAM!J84</f>
        <v>0</v>
      </c>
      <c r="J16" s="59">
        <f>Свод_RJKAM!K84</f>
        <v>0</v>
      </c>
      <c r="K16" s="59">
        <f>Свод_RJKAM!L84</f>
        <v>0</v>
      </c>
      <c r="L16" s="59">
        <f>Свод_RJKAM!M84</f>
        <v>0</v>
      </c>
      <c r="M16" s="59">
        <f>Свод_RJKAM!N84</f>
        <v>0</v>
      </c>
      <c r="N16" s="59">
        <f>Свод_RJKAM!O84</f>
        <v>0</v>
      </c>
      <c r="O16" s="59">
        <f>Свод_RJKAM!P84</f>
        <v>0</v>
      </c>
      <c r="P16" s="59">
        <f>Свод_RJKAM!Q84</f>
        <v>0</v>
      </c>
      <c r="Q16" s="59">
        <f>Свод_RJKAM!R84</f>
        <v>0</v>
      </c>
      <c r="R16" s="59">
        <f>Свод_RJKAM!S84</f>
        <v>0</v>
      </c>
      <c r="S16" s="59">
        <f>Свод_RJKAM!T84</f>
        <v>0</v>
      </c>
      <c r="T16" s="59">
        <f>Свод_RJKAM!U84</f>
        <v>0</v>
      </c>
      <c r="U16" s="59">
        <f>Свод_RJKAM!V84</f>
        <v>0</v>
      </c>
      <c r="V16" s="59">
        <f>Свод_RJKAM!W84</f>
        <v>0</v>
      </c>
      <c r="W16" s="59">
        <f>Свод_RJKAM!X84</f>
        <v>0</v>
      </c>
      <c r="X16" s="59">
        <f>Свод_RJKAM!Y84</f>
        <v>0</v>
      </c>
      <c r="Y16" s="59">
        <f>Свод_RJKAM!Z84</f>
        <v>0</v>
      </c>
      <c r="Z16" s="59">
        <f>Свод_RJKAM!AA84</f>
        <v>0</v>
      </c>
      <c r="AA16" s="59">
        <f>Свод_RJKAM!AB84</f>
        <v>0</v>
      </c>
      <c r="AB16" s="59">
        <f>Свод_RJKAM!AC84</f>
        <v>0</v>
      </c>
      <c r="AC16" s="59">
        <f>Свод_RJKAM!AD84</f>
        <v>0</v>
      </c>
      <c r="AD16" s="59">
        <f>Свод_RJKAM!AE84</f>
        <v>0</v>
      </c>
      <c r="AE16" s="59">
        <f>Свод_RJKAM!AF84</f>
        <v>0</v>
      </c>
    </row>
    <row r="17" spans="1:31" ht="15.75" customHeight="1" x14ac:dyDescent="0.25">
      <c r="A17" s="56">
        <f t="shared" si="1"/>
        <v>11</v>
      </c>
      <c r="B17" s="60">
        <v>478232</v>
      </c>
      <c r="C17" s="60" t="str">
        <f>Свод_RJKAM!D92</f>
        <v>Самылин М.</v>
      </c>
      <c r="D17" s="61">
        <f>Свод_RJKAM!E92</f>
        <v>6</v>
      </c>
      <c r="E17" s="61">
        <f>Свод_RJKAM!F92</f>
        <v>0</v>
      </c>
      <c r="F17" s="61">
        <f>Свод_RJKAM!G92</f>
        <v>6</v>
      </c>
      <c r="G17" s="62">
        <f>Свод_RJKAM!H92</f>
        <v>0</v>
      </c>
      <c r="H17" s="62">
        <f>Свод_RJKAM!I92</f>
        <v>0</v>
      </c>
      <c r="I17" s="62">
        <f>Свод_RJKAM!J92</f>
        <v>0</v>
      </c>
      <c r="J17" s="62">
        <f>Свод_RJKAM!K92</f>
        <v>0</v>
      </c>
      <c r="K17" s="62">
        <f>Свод_RJKAM!L92</f>
        <v>0</v>
      </c>
      <c r="L17" s="62">
        <f>Свод_RJKAM!M92</f>
        <v>0</v>
      </c>
      <c r="M17" s="62">
        <f>Свод_RJKAM!N92</f>
        <v>0</v>
      </c>
      <c r="N17" s="62">
        <f>Свод_RJKAM!O92</f>
        <v>0</v>
      </c>
      <c r="O17" s="62">
        <f>Свод_RJKAM!P92</f>
        <v>0</v>
      </c>
      <c r="P17" s="62">
        <f>Свод_RJKAM!Q92</f>
        <v>0</v>
      </c>
      <c r="Q17" s="62">
        <f>Свод_RJKAM!R92</f>
        <v>0</v>
      </c>
      <c r="R17" s="62">
        <f>Свод_RJKAM!S92</f>
        <v>0</v>
      </c>
      <c r="S17" s="62">
        <f>Свод_RJKAM!T92</f>
        <v>0</v>
      </c>
      <c r="T17" s="62">
        <f>Свод_RJKAM!U92</f>
        <v>0</v>
      </c>
      <c r="U17" s="62">
        <f>Свод_RJKAM!V92</f>
        <v>0</v>
      </c>
      <c r="V17" s="62">
        <f>Свод_RJKAM!W92</f>
        <v>0</v>
      </c>
      <c r="W17" s="62">
        <f>Свод_RJKAM!X92</f>
        <v>0</v>
      </c>
      <c r="X17" s="62">
        <f>Свод_RJKAM!Y92</f>
        <v>0</v>
      </c>
      <c r="Y17" s="62">
        <f>Свод_RJKAM!Z92</f>
        <v>0</v>
      </c>
      <c r="Z17" s="62">
        <f>Свод_RJKAM!AA92</f>
        <v>0</v>
      </c>
      <c r="AA17" s="62">
        <f>Свод_RJKAM!AB92</f>
        <v>0</v>
      </c>
      <c r="AB17" s="62">
        <f>Свод_RJKAM!AC92</f>
        <v>0</v>
      </c>
      <c r="AC17" s="62">
        <f>Свод_RJKAM!AD92</f>
        <v>0</v>
      </c>
      <c r="AD17" s="62">
        <f>Свод_RJKAM!AE92</f>
        <v>0</v>
      </c>
      <c r="AE17" s="62">
        <f>Свод_RJKAM!AF92</f>
        <v>0</v>
      </c>
    </row>
    <row r="18" spans="1:31" ht="15.75" customHeight="1" x14ac:dyDescent="0.25">
      <c r="A18" s="63">
        <v>2</v>
      </c>
      <c r="B18" s="48">
        <v>2669</v>
      </c>
      <c r="C18" s="48" t="s">
        <v>82</v>
      </c>
      <c r="D18" s="49">
        <f>SUM(D19:D30)</f>
        <v>43</v>
      </c>
      <c r="E18" s="49">
        <f>SUM(E19:E30)</f>
        <v>0</v>
      </c>
      <c r="F18" s="49">
        <f>SUM(F19:F30)</f>
        <v>43</v>
      </c>
      <c r="G18" s="50">
        <f>AVERAGE(G19:G30)</f>
        <v>0</v>
      </c>
      <c r="H18" s="50">
        <f t="shared" ref="H18:AE18" si="2">AVERAGE(H19:H30)</f>
        <v>0</v>
      </c>
      <c r="I18" s="50">
        <f t="shared" si="2"/>
        <v>0</v>
      </c>
      <c r="J18" s="50">
        <f t="shared" si="2"/>
        <v>0</v>
      </c>
      <c r="K18" s="50">
        <f t="shared" si="2"/>
        <v>0</v>
      </c>
      <c r="L18" s="50">
        <f t="shared" si="2"/>
        <v>0</v>
      </c>
      <c r="M18" s="50">
        <f t="shared" si="2"/>
        <v>0</v>
      </c>
      <c r="N18" s="50">
        <f t="shared" si="2"/>
        <v>0</v>
      </c>
      <c r="O18" s="50">
        <f t="shared" si="2"/>
        <v>0</v>
      </c>
      <c r="P18" s="50">
        <f t="shared" si="2"/>
        <v>0</v>
      </c>
      <c r="Q18" s="50">
        <f t="shared" si="2"/>
        <v>0</v>
      </c>
      <c r="R18" s="50">
        <f t="shared" si="2"/>
        <v>0</v>
      </c>
      <c r="S18" s="50">
        <f t="shared" si="2"/>
        <v>0</v>
      </c>
      <c r="T18" s="50">
        <f t="shared" si="2"/>
        <v>0</v>
      </c>
      <c r="U18" s="50">
        <f t="shared" si="2"/>
        <v>0</v>
      </c>
      <c r="V18" s="50">
        <f t="shared" si="2"/>
        <v>0</v>
      </c>
      <c r="W18" s="50">
        <f t="shared" si="2"/>
        <v>0</v>
      </c>
      <c r="X18" s="50">
        <f t="shared" si="2"/>
        <v>0</v>
      </c>
      <c r="Y18" s="50">
        <f t="shared" si="2"/>
        <v>0</v>
      </c>
      <c r="Z18" s="50">
        <f t="shared" si="2"/>
        <v>0</v>
      </c>
      <c r="AA18" s="50">
        <f t="shared" si="2"/>
        <v>0</v>
      </c>
      <c r="AB18" s="50">
        <f t="shared" si="2"/>
        <v>0</v>
      </c>
      <c r="AC18" s="50">
        <f t="shared" si="2"/>
        <v>0</v>
      </c>
      <c r="AD18" s="50">
        <f t="shared" si="2"/>
        <v>0</v>
      </c>
      <c r="AE18" s="50">
        <f t="shared" si="2"/>
        <v>0</v>
      </c>
    </row>
    <row r="19" spans="1:31" ht="15.75" customHeight="1" x14ac:dyDescent="0.25">
      <c r="A19" s="51">
        <v>1</v>
      </c>
      <c r="B19" s="52">
        <v>477431</v>
      </c>
      <c r="C19" s="52" t="str">
        <f>Свод_RJKAM!D11</f>
        <v>Беспятов В.</v>
      </c>
      <c r="D19" s="53">
        <f>Свод_RJKAM!E11</f>
        <v>2</v>
      </c>
      <c r="E19" s="53">
        <f>Свод_RJKAM!F11</f>
        <v>0</v>
      </c>
      <c r="F19" s="53">
        <f>Свод_RJKAM!G11</f>
        <v>2</v>
      </c>
      <c r="G19" s="54">
        <f>Свод_RJKAM!H11</f>
        <v>0</v>
      </c>
      <c r="H19" s="54">
        <f>Свод_RJKAM!I11</f>
        <v>0</v>
      </c>
      <c r="I19" s="54">
        <f>Свод_RJKAM!J11</f>
        <v>0</v>
      </c>
      <c r="J19" s="54">
        <f>Свод_RJKAM!K11</f>
        <v>0</v>
      </c>
      <c r="K19" s="54">
        <f>Свод_RJKAM!L11</f>
        <v>0</v>
      </c>
      <c r="L19" s="54">
        <f>Свод_RJKAM!M11</f>
        <v>0</v>
      </c>
      <c r="M19" s="54">
        <f>Свод_RJKAM!N11</f>
        <v>0</v>
      </c>
      <c r="N19" s="54">
        <f>Свод_RJKAM!O11</f>
        <v>0</v>
      </c>
      <c r="O19" s="54">
        <f>Свод_RJKAM!P11</f>
        <v>0</v>
      </c>
      <c r="P19" s="54">
        <f>Свод_RJKAM!Q11</f>
        <v>0</v>
      </c>
      <c r="Q19" s="54">
        <f>Свод_RJKAM!R11</f>
        <v>0</v>
      </c>
      <c r="R19" s="54">
        <f>Свод_RJKAM!S11</f>
        <v>0</v>
      </c>
      <c r="S19" s="54">
        <f>Свод_RJKAM!T11</f>
        <v>0</v>
      </c>
      <c r="T19" s="54">
        <f>Свод_RJKAM!U11</f>
        <v>0</v>
      </c>
      <c r="U19" s="54">
        <f>Свод_RJKAM!V11</f>
        <v>0</v>
      </c>
      <c r="V19" s="54">
        <f>Свод_RJKAM!W11</f>
        <v>0</v>
      </c>
      <c r="W19" s="54">
        <f>Свод_RJKAM!X11</f>
        <v>0</v>
      </c>
      <c r="X19" s="54">
        <f>Свод_RJKAM!Y11</f>
        <v>0</v>
      </c>
      <c r="Y19" s="54">
        <f>Свод_RJKAM!Z11</f>
        <v>0</v>
      </c>
      <c r="Z19" s="54">
        <f>Свод_RJKAM!AA11</f>
        <v>0</v>
      </c>
      <c r="AA19" s="54">
        <f>Свод_RJKAM!AB11</f>
        <v>0</v>
      </c>
      <c r="AB19" s="54">
        <f>Свод_RJKAM!AC11</f>
        <v>0</v>
      </c>
      <c r="AC19" s="54">
        <f>Свод_RJKAM!AD11</f>
        <v>0</v>
      </c>
      <c r="AD19" s="54">
        <f>Свод_RJKAM!AE11</f>
        <v>0</v>
      </c>
      <c r="AE19" s="54">
        <f>Свод_RJKAM!AF11</f>
        <v>0</v>
      </c>
    </row>
    <row r="20" spans="1:31" ht="15.75" customHeight="1" x14ac:dyDescent="0.25">
      <c r="A20" s="56">
        <f>A19+1</f>
        <v>2</v>
      </c>
      <c r="B20" s="57">
        <v>478488</v>
      </c>
      <c r="C20" s="57" t="str">
        <f>Свод_RJKAM!D17</f>
        <v>Белова Н.</v>
      </c>
      <c r="D20" s="58">
        <f>Свод_RJKAM!E17</f>
        <v>1</v>
      </c>
      <c r="E20" s="58">
        <f>Свод_RJKAM!F17</f>
        <v>0</v>
      </c>
      <c r="F20" s="58">
        <f>Свод_RJKAM!G17</f>
        <v>1</v>
      </c>
      <c r="G20" s="59">
        <f>Свод_RJKAM!H17</f>
        <v>0</v>
      </c>
      <c r="H20" s="59">
        <f>Свод_RJKAM!I17</f>
        <v>0</v>
      </c>
      <c r="I20" s="59">
        <f>Свод_RJKAM!J17</f>
        <v>0</v>
      </c>
      <c r="J20" s="59">
        <f>Свод_RJKAM!K17</f>
        <v>0</v>
      </c>
      <c r="K20" s="59">
        <f>Свод_RJKAM!L17</f>
        <v>0</v>
      </c>
      <c r="L20" s="59">
        <f>Свод_RJKAM!M17</f>
        <v>0</v>
      </c>
      <c r="M20" s="59">
        <f>Свод_RJKAM!N17</f>
        <v>0</v>
      </c>
      <c r="N20" s="59">
        <f>Свод_RJKAM!O17</f>
        <v>0</v>
      </c>
      <c r="O20" s="59">
        <f>Свод_RJKAM!P17</f>
        <v>0</v>
      </c>
      <c r="P20" s="59">
        <f>Свод_RJKAM!Q17</f>
        <v>0</v>
      </c>
      <c r="Q20" s="59">
        <f>Свод_RJKAM!R17</f>
        <v>0</v>
      </c>
      <c r="R20" s="59">
        <f>Свод_RJKAM!S17</f>
        <v>0</v>
      </c>
      <c r="S20" s="59">
        <f>Свод_RJKAM!T17</f>
        <v>0</v>
      </c>
      <c r="T20" s="59">
        <f>Свод_RJKAM!U17</f>
        <v>0</v>
      </c>
      <c r="U20" s="59">
        <f>Свод_RJKAM!V17</f>
        <v>0</v>
      </c>
      <c r="V20" s="59">
        <f>Свод_RJKAM!W17</f>
        <v>0</v>
      </c>
      <c r="W20" s="59">
        <f>Свод_RJKAM!X17</f>
        <v>0</v>
      </c>
      <c r="X20" s="59">
        <f>Свод_RJKAM!Y17</f>
        <v>0</v>
      </c>
      <c r="Y20" s="59">
        <f>Свод_RJKAM!Z17</f>
        <v>0</v>
      </c>
      <c r="Z20" s="59">
        <f>Свод_RJKAM!AA17</f>
        <v>0</v>
      </c>
      <c r="AA20" s="59">
        <f>Свод_RJKAM!AB17</f>
        <v>0</v>
      </c>
      <c r="AB20" s="59">
        <f>Свод_RJKAM!AC17</f>
        <v>0</v>
      </c>
      <c r="AC20" s="59">
        <f>Свод_RJKAM!AD17</f>
        <v>0</v>
      </c>
      <c r="AD20" s="59">
        <f>Свод_RJKAM!AE17</f>
        <v>0</v>
      </c>
      <c r="AE20" s="59">
        <f>Свод_RJKAM!AF17</f>
        <v>0</v>
      </c>
    </row>
    <row r="21" spans="1:31" ht="15.75" customHeight="1" x14ac:dyDescent="0.25">
      <c r="A21" s="56">
        <f t="shared" ref="A21:A30" si="3">A20+1</f>
        <v>3</v>
      </c>
      <c r="B21" s="57">
        <v>476999</v>
      </c>
      <c r="C21" s="57" t="str">
        <f>Свод_RJKAM!D21</f>
        <v>Ермолович В.</v>
      </c>
      <c r="D21" s="58">
        <f>Свод_RJKAM!E21</f>
        <v>19</v>
      </c>
      <c r="E21" s="58">
        <f>Свод_RJKAM!F21</f>
        <v>0</v>
      </c>
      <c r="F21" s="58">
        <f>Свод_RJKAM!G21</f>
        <v>19</v>
      </c>
      <c r="G21" s="59">
        <f>Свод_RJKAM!H21</f>
        <v>0</v>
      </c>
      <c r="H21" s="59">
        <f>Свод_RJKAM!I21</f>
        <v>0</v>
      </c>
      <c r="I21" s="59">
        <f>Свод_RJKAM!J21</f>
        <v>0</v>
      </c>
      <c r="J21" s="59">
        <f>Свод_RJKAM!K21</f>
        <v>0</v>
      </c>
      <c r="K21" s="59">
        <f>Свод_RJKAM!L21</f>
        <v>0</v>
      </c>
      <c r="L21" s="59">
        <f>Свод_RJKAM!M21</f>
        <v>0</v>
      </c>
      <c r="M21" s="59">
        <f>Свод_RJKAM!N21</f>
        <v>0</v>
      </c>
      <c r="N21" s="59">
        <f>Свод_RJKAM!O21</f>
        <v>0</v>
      </c>
      <c r="O21" s="59">
        <f>Свод_RJKAM!P21</f>
        <v>0</v>
      </c>
      <c r="P21" s="59">
        <f>Свод_RJKAM!Q21</f>
        <v>0</v>
      </c>
      <c r="Q21" s="59">
        <f>Свод_RJKAM!R21</f>
        <v>0</v>
      </c>
      <c r="R21" s="59">
        <f>Свод_RJKAM!S21</f>
        <v>0</v>
      </c>
      <c r="S21" s="59">
        <f>Свод_RJKAM!T21</f>
        <v>0</v>
      </c>
      <c r="T21" s="59">
        <f>Свод_RJKAM!U21</f>
        <v>0</v>
      </c>
      <c r="U21" s="59">
        <f>Свод_RJKAM!V21</f>
        <v>0</v>
      </c>
      <c r="V21" s="59">
        <f>Свод_RJKAM!W21</f>
        <v>0</v>
      </c>
      <c r="W21" s="59">
        <f>Свод_RJKAM!X21</f>
        <v>0</v>
      </c>
      <c r="X21" s="59">
        <f>Свод_RJKAM!Y21</f>
        <v>0</v>
      </c>
      <c r="Y21" s="59">
        <f>Свод_RJKAM!Z21</f>
        <v>0</v>
      </c>
      <c r="Z21" s="59">
        <f>Свод_RJKAM!AA21</f>
        <v>0</v>
      </c>
      <c r="AA21" s="59">
        <f>Свод_RJKAM!AB21</f>
        <v>0</v>
      </c>
      <c r="AB21" s="59">
        <f>Свод_RJKAM!AC21</f>
        <v>0</v>
      </c>
      <c r="AC21" s="59">
        <f>Свод_RJKAM!AD21</f>
        <v>0</v>
      </c>
      <c r="AD21" s="59">
        <f>Свод_RJKAM!AE21</f>
        <v>0</v>
      </c>
      <c r="AE21" s="59">
        <f>Свод_RJKAM!AF21</f>
        <v>0</v>
      </c>
    </row>
    <row r="22" spans="1:31" ht="15.75" customHeight="1" x14ac:dyDescent="0.25">
      <c r="A22" s="56">
        <f t="shared" si="3"/>
        <v>4</v>
      </c>
      <c r="B22" s="57">
        <v>478231</v>
      </c>
      <c r="C22" s="57" t="str">
        <f>Свод_RJKAM!D34</f>
        <v>Подсекина Т.</v>
      </c>
      <c r="D22" s="58">
        <f>Свод_RJKAM!E34</f>
        <v>3</v>
      </c>
      <c r="E22" s="58">
        <f>Свод_RJKAM!F34</f>
        <v>0</v>
      </c>
      <c r="F22" s="58">
        <f>Свод_RJKAM!G34</f>
        <v>3</v>
      </c>
      <c r="G22" s="59">
        <f>Свод_RJKAM!H34</f>
        <v>0</v>
      </c>
      <c r="H22" s="59">
        <f>Свод_RJKAM!I34</f>
        <v>0</v>
      </c>
      <c r="I22" s="59">
        <f>Свод_RJKAM!J34</f>
        <v>0</v>
      </c>
      <c r="J22" s="59">
        <f>Свод_RJKAM!K34</f>
        <v>0</v>
      </c>
      <c r="K22" s="59">
        <f>Свод_RJKAM!L34</f>
        <v>0</v>
      </c>
      <c r="L22" s="59">
        <f>Свод_RJKAM!M34</f>
        <v>0</v>
      </c>
      <c r="M22" s="59">
        <f>Свод_RJKAM!N34</f>
        <v>0</v>
      </c>
      <c r="N22" s="59">
        <f>Свод_RJKAM!O34</f>
        <v>0</v>
      </c>
      <c r="O22" s="59">
        <f>Свод_RJKAM!P34</f>
        <v>0</v>
      </c>
      <c r="P22" s="59">
        <f>Свод_RJKAM!Q34</f>
        <v>0</v>
      </c>
      <c r="Q22" s="59">
        <f>Свод_RJKAM!R34</f>
        <v>0</v>
      </c>
      <c r="R22" s="59">
        <f>Свод_RJKAM!S34</f>
        <v>0</v>
      </c>
      <c r="S22" s="59">
        <f>Свод_RJKAM!T34</f>
        <v>0</v>
      </c>
      <c r="T22" s="59">
        <f>Свод_RJKAM!U34</f>
        <v>0</v>
      </c>
      <c r="U22" s="59">
        <f>Свод_RJKAM!V34</f>
        <v>0</v>
      </c>
      <c r="V22" s="59">
        <f>Свод_RJKAM!W34</f>
        <v>0</v>
      </c>
      <c r="W22" s="59">
        <f>Свод_RJKAM!X34</f>
        <v>0</v>
      </c>
      <c r="X22" s="59">
        <f>Свод_RJKAM!Y34</f>
        <v>0</v>
      </c>
      <c r="Y22" s="59">
        <f>Свод_RJKAM!Z34</f>
        <v>0</v>
      </c>
      <c r="Z22" s="59">
        <f>Свод_RJKAM!AA34</f>
        <v>0</v>
      </c>
      <c r="AA22" s="59">
        <f>Свод_RJKAM!AB34</f>
        <v>0</v>
      </c>
      <c r="AB22" s="59">
        <f>Свод_RJKAM!AC34</f>
        <v>0</v>
      </c>
      <c r="AC22" s="59">
        <f>Свод_RJKAM!AD34</f>
        <v>0</v>
      </c>
      <c r="AD22" s="59">
        <f>Свод_RJKAM!AE34</f>
        <v>0</v>
      </c>
      <c r="AE22" s="59">
        <f>Свод_RJKAM!AF34</f>
        <v>0</v>
      </c>
    </row>
    <row r="23" spans="1:31" ht="15.75" customHeight="1" x14ac:dyDescent="0.25">
      <c r="A23" s="56">
        <f t="shared" si="3"/>
        <v>5</v>
      </c>
      <c r="B23" s="57">
        <v>476735</v>
      </c>
      <c r="C23" s="57" t="str">
        <f>Свод_RJKAM!D42</f>
        <v>Ворновской Э.</v>
      </c>
      <c r="D23" s="58">
        <f>Свод_RJKAM!E42</f>
        <v>2</v>
      </c>
      <c r="E23" s="58">
        <f>Свод_RJKAM!F42</f>
        <v>0</v>
      </c>
      <c r="F23" s="58">
        <f>Свод_RJKAM!G42</f>
        <v>2</v>
      </c>
      <c r="G23" s="59">
        <f>Свод_RJKAM!H42</f>
        <v>0</v>
      </c>
      <c r="H23" s="59">
        <f>Свод_RJKAM!I42</f>
        <v>0</v>
      </c>
      <c r="I23" s="59">
        <f>Свод_RJKAM!J42</f>
        <v>0</v>
      </c>
      <c r="J23" s="59">
        <f>Свод_RJKAM!K42</f>
        <v>0</v>
      </c>
      <c r="K23" s="59">
        <f>Свод_RJKAM!L42</f>
        <v>0</v>
      </c>
      <c r="L23" s="59">
        <f>Свод_RJKAM!M42</f>
        <v>0</v>
      </c>
      <c r="M23" s="59">
        <f>Свод_RJKAM!N42</f>
        <v>0</v>
      </c>
      <c r="N23" s="59">
        <f>Свод_RJKAM!O42</f>
        <v>0</v>
      </c>
      <c r="O23" s="59">
        <f>Свод_RJKAM!P42</f>
        <v>0</v>
      </c>
      <c r="P23" s="59">
        <f>Свод_RJKAM!Q42</f>
        <v>0</v>
      </c>
      <c r="Q23" s="59">
        <f>Свод_RJKAM!R42</f>
        <v>0</v>
      </c>
      <c r="R23" s="59">
        <f>Свод_RJKAM!S42</f>
        <v>0</v>
      </c>
      <c r="S23" s="59">
        <f>Свод_RJKAM!T42</f>
        <v>0</v>
      </c>
      <c r="T23" s="59">
        <f>Свод_RJKAM!U42</f>
        <v>0</v>
      </c>
      <c r="U23" s="59">
        <f>Свод_RJKAM!V42</f>
        <v>0</v>
      </c>
      <c r="V23" s="59">
        <f>Свод_RJKAM!W42</f>
        <v>0</v>
      </c>
      <c r="W23" s="59">
        <f>Свод_RJKAM!X42</f>
        <v>0</v>
      </c>
      <c r="X23" s="59">
        <f>Свод_RJKAM!Y42</f>
        <v>0</v>
      </c>
      <c r="Y23" s="59">
        <f>Свод_RJKAM!Z42</f>
        <v>0</v>
      </c>
      <c r="Z23" s="59">
        <f>Свод_RJKAM!AA42</f>
        <v>0</v>
      </c>
      <c r="AA23" s="59">
        <f>Свод_RJKAM!AB42</f>
        <v>0</v>
      </c>
      <c r="AB23" s="59">
        <f>Свод_RJKAM!AC42</f>
        <v>0</v>
      </c>
      <c r="AC23" s="59">
        <f>Свод_RJKAM!AD42</f>
        <v>0</v>
      </c>
      <c r="AD23" s="59">
        <f>Свод_RJKAM!AE42</f>
        <v>0</v>
      </c>
      <c r="AE23" s="59">
        <f>Свод_RJKAM!AF42</f>
        <v>0</v>
      </c>
    </row>
    <row r="24" spans="1:31" ht="15.75" customHeight="1" x14ac:dyDescent="0.25">
      <c r="A24" s="56">
        <f t="shared" si="3"/>
        <v>6</v>
      </c>
      <c r="B24" s="57">
        <v>476904</v>
      </c>
      <c r="C24" s="57" t="str">
        <f>Свод_RJKAM!D49</f>
        <v>Галкина В.</v>
      </c>
      <c r="D24" s="58">
        <f>Свод_RJKAM!E49</f>
        <v>3</v>
      </c>
      <c r="E24" s="58">
        <f>Свод_RJKAM!F49</f>
        <v>0</v>
      </c>
      <c r="F24" s="58">
        <f>Свод_RJKAM!G49</f>
        <v>3</v>
      </c>
      <c r="G24" s="59">
        <f>Свод_RJKAM!H49</f>
        <v>0</v>
      </c>
      <c r="H24" s="59">
        <f>Свод_RJKAM!I49</f>
        <v>0</v>
      </c>
      <c r="I24" s="59">
        <f>Свод_RJKAM!J49</f>
        <v>0</v>
      </c>
      <c r="J24" s="59">
        <f>Свод_RJKAM!K49</f>
        <v>0</v>
      </c>
      <c r="K24" s="59">
        <f>Свод_RJKAM!L49</f>
        <v>0</v>
      </c>
      <c r="L24" s="59">
        <f>Свод_RJKAM!M49</f>
        <v>0</v>
      </c>
      <c r="M24" s="59">
        <f>Свод_RJKAM!N49</f>
        <v>0</v>
      </c>
      <c r="N24" s="59">
        <f>Свод_RJKAM!O49</f>
        <v>0</v>
      </c>
      <c r="O24" s="59">
        <f>Свод_RJKAM!P49</f>
        <v>0</v>
      </c>
      <c r="P24" s="59">
        <f>Свод_RJKAM!Q49</f>
        <v>0</v>
      </c>
      <c r="Q24" s="59">
        <f>Свод_RJKAM!R49</f>
        <v>0</v>
      </c>
      <c r="R24" s="59">
        <f>Свод_RJKAM!S49</f>
        <v>0</v>
      </c>
      <c r="S24" s="59">
        <f>Свод_RJKAM!T49</f>
        <v>0</v>
      </c>
      <c r="T24" s="59">
        <f>Свод_RJKAM!U49</f>
        <v>0</v>
      </c>
      <c r="U24" s="59">
        <f>Свод_RJKAM!V49</f>
        <v>0</v>
      </c>
      <c r="V24" s="59">
        <f>Свод_RJKAM!W49</f>
        <v>0</v>
      </c>
      <c r="W24" s="59">
        <f>Свод_RJKAM!X49</f>
        <v>0</v>
      </c>
      <c r="X24" s="59">
        <f>Свод_RJKAM!Y49</f>
        <v>0</v>
      </c>
      <c r="Y24" s="59">
        <f>Свод_RJKAM!Z49</f>
        <v>0</v>
      </c>
      <c r="Z24" s="59">
        <f>Свод_RJKAM!AA49</f>
        <v>0</v>
      </c>
      <c r="AA24" s="59">
        <f>Свод_RJKAM!AB49</f>
        <v>0</v>
      </c>
      <c r="AB24" s="59">
        <f>Свод_RJKAM!AC49</f>
        <v>0</v>
      </c>
      <c r="AC24" s="59">
        <f>Свод_RJKAM!AD49</f>
        <v>0</v>
      </c>
      <c r="AD24" s="59">
        <f>Свод_RJKAM!AE49</f>
        <v>0</v>
      </c>
      <c r="AE24" s="59">
        <f>Свод_RJKAM!AF49</f>
        <v>0</v>
      </c>
    </row>
    <row r="25" spans="1:31" ht="15.75" customHeight="1" x14ac:dyDescent="0.25">
      <c r="A25" s="56">
        <f t="shared" si="3"/>
        <v>7</v>
      </c>
      <c r="B25" s="57">
        <v>476900</v>
      </c>
      <c r="C25" s="57" t="str">
        <f>Свод_RJKAM!D56</f>
        <v>Назмутдинов В.</v>
      </c>
      <c r="D25" s="58">
        <f>Свод_RJKAM!E56</f>
        <v>2</v>
      </c>
      <c r="E25" s="58">
        <f>Свод_RJKAM!F56</f>
        <v>0</v>
      </c>
      <c r="F25" s="58">
        <f>Свод_RJKAM!G56</f>
        <v>2</v>
      </c>
      <c r="G25" s="59">
        <f>Свод_RJKAM!H56</f>
        <v>0</v>
      </c>
      <c r="H25" s="59">
        <f>Свод_RJKAM!I56</f>
        <v>0</v>
      </c>
      <c r="I25" s="59">
        <f>Свод_RJKAM!J56</f>
        <v>0</v>
      </c>
      <c r="J25" s="59">
        <f>Свод_RJKAM!K56</f>
        <v>0</v>
      </c>
      <c r="K25" s="59">
        <f>Свод_RJKAM!L56</f>
        <v>0</v>
      </c>
      <c r="L25" s="59">
        <f>Свод_RJKAM!M56</f>
        <v>0</v>
      </c>
      <c r="M25" s="59">
        <f>Свод_RJKAM!N56</f>
        <v>0</v>
      </c>
      <c r="N25" s="59">
        <f>Свод_RJKAM!O56</f>
        <v>0</v>
      </c>
      <c r="O25" s="59">
        <f>Свод_RJKAM!P56</f>
        <v>0</v>
      </c>
      <c r="P25" s="59">
        <f>Свод_RJKAM!Q56</f>
        <v>0</v>
      </c>
      <c r="Q25" s="59">
        <f>Свод_RJKAM!R56</f>
        <v>0</v>
      </c>
      <c r="R25" s="59">
        <f>Свод_RJKAM!S56</f>
        <v>0</v>
      </c>
      <c r="S25" s="59">
        <f>Свод_RJKAM!T56</f>
        <v>0</v>
      </c>
      <c r="T25" s="59">
        <f>Свод_RJKAM!U56</f>
        <v>0</v>
      </c>
      <c r="U25" s="59">
        <f>Свод_RJKAM!V56</f>
        <v>0</v>
      </c>
      <c r="V25" s="59">
        <f>Свод_RJKAM!W56</f>
        <v>0</v>
      </c>
      <c r="W25" s="59">
        <f>Свод_RJKAM!X56</f>
        <v>0</v>
      </c>
      <c r="X25" s="59">
        <f>Свод_RJKAM!Y56</f>
        <v>0</v>
      </c>
      <c r="Y25" s="59">
        <f>Свод_RJKAM!Z56</f>
        <v>0</v>
      </c>
      <c r="Z25" s="59">
        <f>Свод_RJKAM!AA56</f>
        <v>0</v>
      </c>
      <c r="AA25" s="59">
        <f>Свод_RJKAM!AB56</f>
        <v>0</v>
      </c>
      <c r="AB25" s="59">
        <f>Свод_RJKAM!AC56</f>
        <v>0</v>
      </c>
      <c r="AC25" s="59">
        <f>Свод_RJKAM!AD56</f>
        <v>0</v>
      </c>
      <c r="AD25" s="59">
        <f>Свод_RJKAM!AE56</f>
        <v>0</v>
      </c>
      <c r="AE25" s="59">
        <f>Свод_RJKAM!AF56</f>
        <v>0</v>
      </c>
    </row>
    <row r="26" spans="1:31" ht="15.75" customHeight="1" x14ac:dyDescent="0.25">
      <c r="A26" s="56">
        <f t="shared" si="3"/>
        <v>8</v>
      </c>
      <c r="B26" s="57">
        <v>477760</v>
      </c>
      <c r="C26" s="57" t="str">
        <f>Свод_RJKAM!D63</f>
        <v>Иванов В.</v>
      </c>
      <c r="D26" s="58">
        <f>Свод_RJKAM!E63</f>
        <v>3</v>
      </c>
      <c r="E26" s="58">
        <f>Свод_RJKAM!F63</f>
        <v>0</v>
      </c>
      <c r="F26" s="58">
        <f>Свод_RJKAM!G63</f>
        <v>3</v>
      </c>
      <c r="G26" s="59">
        <f>Свод_RJKAM!H63</f>
        <v>0</v>
      </c>
      <c r="H26" s="59">
        <f>Свод_RJKAM!I63</f>
        <v>0</v>
      </c>
      <c r="I26" s="59">
        <f>Свод_RJKAM!J63</f>
        <v>0</v>
      </c>
      <c r="J26" s="59">
        <f>Свод_RJKAM!K63</f>
        <v>0</v>
      </c>
      <c r="K26" s="59">
        <f>Свод_RJKAM!L63</f>
        <v>0</v>
      </c>
      <c r="L26" s="59">
        <f>Свод_RJKAM!M63</f>
        <v>0</v>
      </c>
      <c r="M26" s="59">
        <f>Свод_RJKAM!N63</f>
        <v>0</v>
      </c>
      <c r="N26" s="59">
        <f>Свод_RJKAM!O63</f>
        <v>0</v>
      </c>
      <c r="O26" s="59">
        <f>Свод_RJKAM!P63</f>
        <v>0</v>
      </c>
      <c r="P26" s="59">
        <f>Свод_RJKAM!Q63</f>
        <v>0</v>
      </c>
      <c r="Q26" s="59">
        <f>Свод_RJKAM!R63</f>
        <v>0</v>
      </c>
      <c r="R26" s="59">
        <f>Свод_RJKAM!S63</f>
        <v>0</v>
      </c>
      <c r="S26" s="59">
        <f>Свод_RJKAM!T63</f>
        <v>0</v>
      </c>
      <c r="T26" s="59">
        <f>Свод_RJKAM!U63</f>
        <v>0</v>
      </c>
      <c r="U26" s="59">
        <f>Свод_RJKAM!V63</f>
        <v>0</v>
      </c>
      <c r="V26" s="59">
        <f>Свод_RJKAM!W63</f>
        <v>0</v>
      </c>
      <c r="W26" s="59">
        <f>Свод_RJKAM!X63</f>
        <v>0</v>
      </c>
      <c r="X26" s="59">
        <f>Свод_RJKAM!Y63</f>
        <v>0</v>
      </c>
      <c r="Y26" s="59">
        <f>Свод_RJKAM!Z63</f>
        <v>0</v>
      </c>
      <c r="Z26" s="59">
        <f>Свод_RJKAM!AA63</f>
        <v>0</v>
      </c>
      <c r="AA26" s="59">
        <f>Свод_RJKAM!AB63</f>
        <v>0</v>
      </c>
      <c r="AB26" s="59">
        <f>Свод_RJKAM!AC63</f>
        <v>0</v>
      </c>
      <c r="AC26" s="59">
        <f>Свод_RJKAM!AD63</f>
        <v>0</v>
      </c>
      <c r="AD26" s="59">
        <f>Свод_RJKAM!AE63</f>
        <v>0</v>
      </c>
      <c r="AE26" s="59">
        <f>Свод_RJKAM!AF63</f>
        <v>0</v>
      </c>
    </row>
    <row r="27" spans="1:31" ht="15.75" customHeight="1" x14ac:dyDescent="0.25">
      <c r="A27" s="56">
        <f t="shared" si="3"/>
        <v>9</v>
      </c>
      <c r="B27" s="57">
        <v>477759</v>
      </c>
      <c r="C27" s="57" t="str">
        <f>Свод_RJKAM!D70</f>
        <v>Тептина Д.</v>
      </c>
      <c r="D27" s="58">
        <f>Свод_RJKAM!E70</f>
        <v>3</v>
      </c>
      <c r="E27" s="58">
        <f>Свод_RJKAM!F70</f>
        <v>0</v>
      </c>
      <c r="F27" s="58">
        <f>Свод_RJKAM!G70</f>
        <v>3</v>
      </c>
      <c r="G27" s="59">
        <f>Свод_RJKAM!H70</f>
        <v>0</v>
      </c>
      <c r="H27" s="59">
        <f>Свод_RJKAM!I70</f>
        <v>0</v>
      </c>
      <c r="I27" s="59">
        <f>Свод_RJKAM!J70</f>
        <v>0</v>
      </c>
      <c r="J27" s="59">
        <f>Свод_RJKAM!K70</f>
        <v>0</v>
      </c>
      <c r="K27" s="59">
        <f>Свод_RJKAM!L70</f>
        <v>0</v>
      </c>
      <c r="L27" s="59">
        <f>Свод_RJKAM!M70</f>
        <v>0</v>
      </c>
      <c r="M27" s="59">
        <f>Свод_RJKAM!N70</f>
        <v>0</v>
      </c>
      <c r="N27" s="59">
        <f>Свод_RJKAM!O70</f>
        <v>0</v>
      </c>
      <c r="O27" s="59">
        <f>Свод_RJKAM!P70</f>
        <v>0</v>
      </c>
      <c r="P27" s="59">
        <f>Свод_RJKAM!Q70</f>
        <v>0</v>
      </c>
      <c r="Q27" s="59">
        <f>Свод_RJKAM!R70</f>
        <v>0</v>
      </c>
      <c r="R27" s="59">
        <f>Свод_RJKAM!S70</f>
        <v>0</v>
      </c>
      <c r="S27" s="59">
        <f>Свод_RJKAM!T70</f>
        <v>0</v>
      </c>
      <c r="T27" s="59">
        <f>Свод_RJKAM!U70</f>
        <v>0</v>
      </c>
      <c r="U27" s="59">
        <f>Свод_RJKAM!V70</f>
        <v>0</v>
      </c>
      <c r="V27" s="59">
        <f>Свод_RJKAM!W70</f>
        <v>0</v>
      </c>
      <c r="W27" s="59">
        <f>Свод_RJKAM!X70</f>
        <v>0</v>
      </c>
      <c r="X27" s="59">
        <f>Свод_RJKAM!Y70</f>
        <v>0</v>
      </c>
      <c r="Y27" s="59">
        <f>Свод_RJKAM!Z70</f>
        <v>0</v>
      </c>
      <c r="Z27" s="59">
        <f>Свод_RJKAM!AA70</f>
        <v>0</v>
      </c>
      <c r="AA27" s="59">
        <f>Свод_RJKAM!AB70</f>
        <v>0</v>
      </c>
      <c r="AB27" s="59">
        <f>Свод_RJKAM!AC70</f>
        <v>0</v>
      </c>
      <c r="AC27" s="59">
        <f>Свод_RJKAM!AD70</f>
        <v>0</v>
      </c>
      <c r="AD27" s="59">
        <f>Свод_RJKAM!AE70</f>
        <v>0</v>
      </c>
      <c r="AE27" s="59">
        <f>Свод_RJKAM!AF70</f>
        <v>0</v>
      </c>
    </row>
    <row r="28" spans="1:31" ht="15.75" customHeight="1" x14ac:dyDescent="0.25">
      <c r="A28" s="56">
        <f t="shared" si="3"/>
        <v>10</v>
      </c>
      <c r="B28" s="57">
        <v>476091</v>
      </c>
      <c r="C28" s="57" t="str">
        <f>Свод_RJKAM!D76</f>
        <v>Минхаеров А.</v>
      </c>
      <c r="D28" s="58">
        <f>Свод_RJKAM!E76</f>
        <v>1</v>
      </c>
      <c r="E28" s="58">
        <f>Свод_RJKAM!F76</f>
        <v>0</v>
      </c>
      <c r="F28" s="58">
        <f>Свод_RJKAM!G76</f>
        <v>1</v>
      </c>
      <c r="G28" s="59">
        <f>Свод_RJKAM!H76</f>
        <v>0</v>
      </c>
      <c r="H28" s="59">
        <f>Свод_RJKAM!I76</f>
        <v>0</v>
      </c>
      <c r="I28" s="59">
        <f>Свод_RJKAM!J76</f>
        <v>0</v>
      </c>
      <c r="J28" s="59">
        <f>Свод_RJKAM!K76</f>
        <v>0</v>
      </c>
      <c r="K28" s="59">
        <f>Свод_RJKAM!L76</f>
        <v>0</v>
      </c>
      <c r="L28" s="59">
        <f>Свод_RJKAM!M76</f>
        <v>0</v>
      </c>
      <c r="M28" s="59">
        <f>Свод_RJKAM!N76</f>
        <v>0</v>
      </c>
      <c r="N28" s="59">
        <f>Свод_RJKAM!O76</f>
        <v>0</v>
      </c>
      <c r="O28" s="59">
        <f>Свод_RJKAM!P76</f>
        <v>0</v>
      </c>
      <c r="P28" s="59">
        <f>Свод_RJKAM!Q76</f>
        <v>0</v>
      </c>
      <c r="Q28" s="59">
        <f>Свод_RJKAM!R76</f>
        <v>0</v>
      </c>
      <c r="R28" s="59">
        <f>Свод_RJKAM!S76</f>
        <v>0</v>
      </c>
      <c r="S28" s="59">
        <f>Свод_RJKAM!T76</f>
        <v>0</v>
      </c>
      <c r="T28" s="59">
        <f>Свод_RJKAM!U76</f>
        <v>0</v>
      </c>
      <c r="U28" s="59">
        <f>Свод_RJKAM!V76</f>
        <v>0</v>
      </c>
      <c r="V28" s="59">
        <f>Свод_RJKAM!W76</f>
        <v>0</v>
      </c>
      <c r="W28" s="59">
        <f>Свод_RJKAM!X76</f>
        <v>0</v>
      </c>
      <c r="X28" s="59">
        <f>Свод_RJKAM!Y76</f>
        <v>0</v>
      </c>
      <c r="Y28" s="59">
        <f>Свод_RJKAM!Z76</f>
        <v>0</v>
      </c>
      <c r="Z28" s="59">
        <f>Свод_RJKAM!AA76</f>
        <v>0</v>
      </c>
      <c r="AA28" s="59">
        <f>Свод_RJKAM!AB76</f>
        <v>0</v>
      </c>
      <c r="AB28" s="59">
        <f>Свод_RJKAM!AC76</f>
        <v>0</v>
      </c>
      <c r="AC28" s="59">
        <f>Свод_RJKAM!AD76</f>
        <v>0</v>
      </c>
      <c r="AD28" s="59">
        <f>Свод_RJKAM!AE76</f>
        <v>0</v>
      </c>
      <c r="AE28" s="59">
        <f>Свод_RJKAM!AF76</f>
        <v>0</v>
      </c>
    </row>
    <row r="29" spans="1:31" ht="15.75" customHeight="1" x14ac:dyDescent="0.25">
      <c r="A29" s="56">
        <f t="shared" si="3"/>
        <v>11</v>
      </c>
      <c r="B29" s="57">
        <v>478485</v>
      </c>
      <c r="C29" s="57" t="str">
        <f>Свод_RJKAM!D83</f>
        <v>Матвиец И.</v>
      </c>
      <c r="D29" s="58">
        <f>Свод_RJKAM!E83</f>
        <v>2</v>
      </c>
      <c r="E29" s="58">
        <f>Свод_RJKAM!F83</f>
        <v>0</v>
      </c>
      <c r="F29" s="58">
        <f>Свод_RJKAM!G83</f>
        <v>2</v>
      </c>
      <c r="G29" s="59">
        <f>Свод_RJKAM!H83</f>
        <v>0</v>
      </c>
      <c r="H29" s="59">
        <f>Свод_RJKAM!I83</f>
        <v>0</v>
      </c>
      <c r="I29" s="59">
        <f>Свод_RJKAM!J83</f>
        <v>0</v>
      </c>
      <c r="J29" s="59">
        <f>Свод_RJKAM!K83</f>
        <v>0</v>
      </c>
      <c r="K29" s="59">
        <f>Свод_RJKAM!L83</f>
        <v>0</v>
      </c>
      <c r="L29" s="59">
        <f>Свод_RJKAM!M83</f>
        <v>0</v>
      </c>
      <c r="M29" s="59">
        <f>Свод_RJKAM!N83</f>
        <v>0</v>
      </c>
      <c r="N29" s="59">
        <f>Свод_RJKAM!O83</f>
        <v>0</v>
      </c>
      <c r="O29" s="59">
        <f>Свод_RJKAM!P83</f>
        <v>0</v>
      </c>
      <c r="P29" s="59">
        <f>Свод_RJKAM!Q83</f>
        <v>0</v>
      </c>
      <c r="Q29" s="59">
        <f>Свод_RJKAM!R83</f>
        <v>0</v>
      </c>
      <c r="R29" s="59">
        <f>Свод_RJKAM!S83</f>
        <v>0</v>
      </c>
      <c r="S29" s="59">
        <f>Свод_RJKAM!T83</f>
        <v>0</v>
      </c>
      <c r="T29" s="59">
        <f>Свод_RJKAM!U83</f>
        <v>0</v>
      </c>
      <c r="U29" s="59">
        <f>Свод_RJKAM!V83</f>
        <v>0</v>
      </c>
      <c r="V29" s="59">
        <f>Свод_RJKAM!W83</f>
        <v>0</v>
      </c>
      <c r="W29" s="59">
        <f>Свод_RJKAM!X83</f>
        <v>0</v>
      </c>
      <c r="X29" s="59">
        <f>Свод_RJKAM!Y83</f>
        <v>0</v>
      </c>
      <c r="Y29" s="59">
        <f>Свод_RJKAM!Z83</f>
        <v>0</v>
      </c>
      <c r="Z29" s="59">
        <f>Свод_RJKAM!AA83</f>
        <v>0</v>
      </c>
      <c r="AA29" s="59">
        <f>Свод_RJKAM!AB83</f>
        <v>0</v>
      </c>
      <c r="AB29" s="59">
        <f>Свод_RJKAM!AC83</f>
        <v>0</v>
      </c>
      <c r="AC29" s="59">
        <f>Свод_RJKAM!AD83</f>
        <v>0</v>
      </c>
      <c r="AD29" s="59">
        <f>Свод_RJKAM!AE83</f>
        <v>0</v>
      </c>
      <c r="AE29" s="59">
        <f>Свод_RJKAM!AF83</f>
        <v>0</v>
      </c>
    </row>
    <row r="30" spans="1:31" ht="15.75" customHeight="1" x14ac:dyDescent="0.25">
      <c r="A30" s="56">
        <f t="shared" si="3"/>
        <v>12</v>
      </c>
      <c r="B30" s="60">
        <v>478232</v>
      </c>
      <c r="C30" s="60" t="str">
        <f>Свод_RJKAM!D91</f>
        <v>Самылин М.</v>
      </c>
      <c r="D30" s="61">
        <f>Свод_RJKAM!E91</f>
        <v>2</v>
      </c>
      <c r="E30" s="61">
        <f>Свод_RJKAM!F91</f>
        <v>0</v>
      </c>
      <c r="F30" s="61">
        <f>Свод_RJKAM!G91</f>
        <v>2</v>
      </c>
      <c r="G30" s="62">
        <f>Свод_RJKAM!H91</f>
        <v>0</v>
      </c>
      <c r="H30" s="62">
        <f>Свод_RJKAM!I91</f>
        <v>0</v>
      </c>
      <c r="I30" s="62">
        <f>Свод_RJKAM!J91</f>
        <v>0</v>
      </c>
      <c r="J30" s="62">
        <f>Свод_RJKAM!K91</f>
        <v>0</v>
      </c>
      <c r="K30" s="62">
        <f>Свод_RJKAM!L91</f>
        <v>0</v>
      </c>
      <c r="L30" s="62">
        <f>Свод_RJKAM!M91</f>
        <v>0</v>
      </c>
      <c r="M30" s="62">
        <f>Свод_RJKAM!N91</f>
        <v>0</v>
      </c>
      <c r="N30" s="62">
        <f>Свод_RJKAM!O91</f>
        <v>0</v>
      </c>
      <c r="O30" s="62">
        <f>Свод_RJKAM!P91</f>
        <v>0</v>
      </c>
      <c r="P30" s="62">
        <f>Свод_RJKAM!Q91</f>
        <v>0</v>
      </c>
      <c r="Q30" s="62">
        <f>Свод_RJKAM!R91</f>
        <v>0</v>
      </c>
      <c r="R30" s="62">
        <f>Свод_RJKAM!S91</f>
        <v>0</v>
      </c>
      <c r="S30" s="62">
        <f>Свод_RJKAM!T91</f>
        <v>0</v>
      </c>
      <c r="T30" s="62">
        <f>Свод_RJKAM!U91</f>
        <v>0</v>
      </c>
      <c r="U30" s="62">
        <f>Свод_RJKAM!V91</f>
        <v>0</v>
      </c>
      <c r="V30" s="62">
        <f>Свод_RJKAM!W91</f>
        <v>0</v>
      </c>
      <c r="W30" s="62">
        <f>Свод_RJKAM!X91</f>
        <v>0</v>
      </c>
      <c r="X30" s="62">
        <f>Свод_RJKAM!Y91</f>
        <v>0</v>
      </c>
      <c r="Y30" s="62">
        <f>Свод_RJKAM!Z91</f>
        <v>0</v>
      </c>
      <c r="Z30" s="62">
        <f>Свод_RJKAM!AA91</f>
        <v>0</v>
      </c>
      <c r="AA30" s="62">
        <f>Свод_RJKAM!AB91</f>
        <v>0</v>
      </c>
      <c r="AB30" s="62">
        <f>Свод_RJKAM!AC91</f>
        <v>0</v>
      </c>
      <c r="AC30" s="62">
        <f>Свод_RJKAM!AD91</f>
        <v>0</v>
      </c>
      <c r="AD30" s="62">
        <f>Свод_RJKAM!AE91</f>
        <v>0</v>
      </c>
      <c r="AE30" s="62">
        <f>Свод_RJKAM!AF91</f>
        <v>0</v>
      </c>
    </row>
    <row r="31" spans="1:31" ht="15.75" customHeight="1" x14ac:dyDescent="0.25">
      <c r="A31" s="63">
        <v>3</v>
      </c>
      <c r="B31" s="48">
        <v>4540</v>
      </c>
      <c r="C31" s="48" t="s">
        <v>83</v>
      </c>
      <c r="D31" s="49">
        <f>SUM(D32:D40)</f>
        <v>49</v>
      </c>
      <c r="E31" s="49">
        <f>SUM(E32:E40)</f>
        <v>27</v>
      </c>
      <c r="F31" s="49">
        <f>SUM(F32:F40)</f>
        <v>76</v>
      </c>
      <c r="G31" s="50">
        <f>AVERAGE(G32:G40)</f>
        <v>0</v>
      </c>
      <c r="H31" s="50">
        <f t="shared" ref="H31:AE31" si="4">AVERAGE(H32:H40)</f>
        <v>0</v>
      </c>
      <c r="I31" s="50">
        <f t="shared" si="4"/>
        <v>0</v>
      </c>
      <c r="J31" s="50">
        <f t="shared" si="4"/>
        <v>0</v>
      </c>
      <c r="K31" s="50">
        <f t="shared" si="4"/>
        <v>0</v>
      </c>
      <c r="L31" s="50">
        <f t="shared" si="4"/>
        <v>0</v>
      </c>
      <c r="M31" s="50">
        <f t="shared" si="4"/>
        <v>0</v>
      </c>
      <c r="N31" s="50">
        <f t="shared" si="4"/>
        <v>0</v>
      </c>
      <c r="O31" s="50">
        <f t="shared" si="4"/>
        <v>0</v>
      </c>
      <c r="P31" s="50">
        <f t="shared" si="4"/>
        <v>0</v>
      </c>
      <c r="Q31" s="50">
        <f t="shared" si="4"/>
        <v>0</v>
      </c>
      <c r="R31" s="50">
        <f t="shared" si="4"/>
        <v>0</v>
      </c>
      <c r="S31" s="50">
        <f t="shared" si="4"/>
        <v>0</v>
      </c>
      <c r="T31" s="50">
        <f t="shared" si="4"/>
        <v>0</v>
      </c>
      <c r="U31" s="50">
        <f t="shared" si="4"/>
        <v>0</v>
      </c>
      <c r="V31" s="50">
        <f t="shared" si="4"/>
        <v>0</v>
      </c>
      <c r="W31" s="50">
        <f t="shared" si="4"/>
        <v>0</v>
      </c>
      <c r="X31" s="50">
        <f t="shared" si="4"/>
        <v>0</v>
      </c>
      <c r="Y31" s="50">
        <f t="shared" si="4"/>
        <v>0</v>
      </c>
      <c r="Z31" s="50">
        <f t="shared" si="4"/>
        <v>0</v>
      </c>
      <c r="AA31" s="50">
        <f t="shared" si="4"/>
        <v>0</v>
      </c>
      <c r="AB31" s="50">
        <f t="shared" si="4"/>
        <v>0</v>
      </c>
      <c r="AC31" s="50">
        <f t="shared" si="4"/>
        <v>0</v>
      </c>
      <c r="AD31" s="50">
        <f t="shared" si="4"/>
        <v>0</v>
      </c>
      <c r="AE31" s="50">
        <f t="shared" si="4"/>
        <v>0</v>
      </c>
    </row>
    <row r="32" spans="1:31" ht="15.75" customHeight="1" x14ac:dyDescent="0.25">
      <c r="A32" s="51">
        <v>1</v>
      </c>
      <c r="B32" s="52">
        <v>477431</v>
      </c>
      <c r="C32" s="52" t="str">
        <f>Свод_RJKAM!C6</f>
        <v>Беспятов В.</v>
      </c>
      <c r="D32" s="53">
        <f>Свод_RJKAM!E8</f>
        <v>1</v>
      </c>
      <c r="E32" s="53">
        <f>Свод_RJKAM!F8</f>
        <v>2</v>
      </c>
      <c r="F32" s="53">
        <f>Свод_RJKAM!G8</f>
        <v>3</v>
      </c>
      <c r="G32" s="54">
        <f>Свод_RJKAM!H8</f>
        <v>0</v>
      </c>
      <c r="H32" s="54">
        <f>Свод_RJKAM!I8</f>
        <v>0</v>
      </c>
      <c r="I32" s="54">
        <f>Свод_RJKAM!J8</f>
        <v>0</v>
      </c>
      <c r="J32" s="54">
        <f>Свод_RJKAM!K8</f>
        <v>0</v>
      </c>
      <c r="K32" s="54">
        <f>Свод_RJKAM!L8</f>
        <v>0</v>
      </c>
      <c r="L32" s="54">
        <f>Свод_RJKAM!M8</f>
        <v>0</v>
      </c>
      <c r="M32" s="54">
        <f>Свод_RJKAM!N8</f>
        <v>0</v>
      </c>
      <c r="N32" s="54">
        <f>Свод_RJKAM!O8</f>
        <v>0</v>
      </c>
      <c r="O32" s="54">
        <f>Свод_RJKAM!P8</f>
        <v>0</v>
      </c>
      <c r="P32" s="54">
        <f>Свод_RJKAM!Q8</f>
        <v>0</v>
      </c>
      <c r="Q32" s="54">
        <f>Свод_RJKAM!R8</f>
        <v>0</v>
      </c>
      <c r="R32" s="54">
        <f>Свод_RJKAM!S8</f>
        <v>0</v>
      </c>
      <c r="S32" s="54">
        <f>Свод_RJKAM!T8</f>
        <v>0</v>
      </c>
      <c r="T32" s="54">
        <f>Свод_RJKAM!U8</f>
        <v>0</v>
      </c>
      <c r="U32" s="54">
        <f>Свод_RJKAM!V8</f>
        <v>0</v>
      </c>
      <c r="V32" s="54">
        <f>Свод_RJKAM!W8</f>
        <v>0</v>
      </c>
      <c r="W32" s="54">
        <f>Свод_RJKAM!X8</f>
        <v>0</v>
      </c>
      <c r="X32" s="54">
        <f>Свод_RJKAM!Y8</f>
        <v>0</v>
      </c>
      <c r="Y32" s="54">
        <f>Свод_RJKAM!Z8</f>
        <v>0</v>
      </c>
      <c r="Z32" s="54">
        <f>Свод_RJKAM!AA8</f>
        <v>0</v>
      </c>
      <c r="AA32" s="54">
        <f>Свод_RJKAM!AB8</f>
        <v>0</v>
      </c>
      <c r="AB32" s="54">
        <f>Свод_RJKAM!AC8</f>
        <v>0</v>
      </c>
      <c r="AC32" s="54">
        <f>Свод_RJKAM!AD8</f>
        <v>0</v>
      </c>
      <c r="AD32" s="54">
        <f>Свод_RJKAM!AE8</f>
        <v>0</v>
      </c>
      <c r="AE32" s="54">
        <f>Свод_RJKAM!AF8</f>
        <v>0</v>
      </c>
    </row>
    <row r="33" spans="1:31" ht="15.75" customHeight="1" x14ac:dyDescent="0.25">
      <c r="A33" s="56">
        <f>A32+1</f>
        <v>2</v>
      </c>
      <c r="B33" s="57">
        <v>476999</v>
      </c>
      <c r="C33" s="57" t="str">
        <f>Свод_RJKAM!D20</f>
        <v>Ермолович В.</v>
      </c>
      <c r="D33" s="58">
        <f>Свод_RJKAM!E20</f>
        <v>11</v>
      </c>
      <c r="E33" s="58">
        <f>Свод_RJKAM!F20</f>
        <v>7</v>
      </c>
      <c r="F33" s="58">
        <f>Свод_RJKAM!G20</f>
        <v>18</v>
      </c>
      <c r="G33" s="59">
        <f>Свод_RJKAM!H20</f>
        <v>0</v>
      </c>
      <c r="H33" s="59">
        <f>Свод_RJKAM!I20</f>
        <v>0</v>
      </c>
      <c r="I33" s="59">
        <f>Свод_RJKAM!J20</f>
        <v>0</v>
      </c>
      <c r="J33" s="59">
        <f>Свод_RJKAM!K20</f>
        <v>0</v>
      </c>
      <c r="K33" s="59">
        <f>Свод_RJKAM!L20</f>
        <v>0</v>
      </c>
      <c r="L33" s="59">
        <f>Свод_RJKAM!M20</f>
        <v>0</v>
      </c>
      <c r="M33" s="59">
        <f>Свод_RJKAM!N20</f>
        <v>0</v>
      </c>
      <c r="N33" s="59">
        <f>Свод_RJKAM!O20</f>
        <v>0</v>
      </c>
      <c r="O33" s="59">
        <f>Свод_RJKAM!P20</f>
        <v>0</v>
      </c>
      <c r="P33" s="59">
        <f>Свод_RJKAM!Q20</f>
        <v>0</v>
      </c>
      <c r="Q33" s="59">
        <f>Свод_RJKAM!R20</f>
        <v>0</v>
      </c>
      <c r="R33" s="59">
        <f>Свод_RJKAM!S20</f>
        <v>0</v>
      </c>
      <c r="S33" s="59">
        <f>Свод_RJKAM!T20</f>
        <v>0</v>
      </c>
      <c r="T33" s="59">
        <f>Свод_RJKAM!U20</f>
        <v>0</v>
      </c>
      <c r="U33" s="59">
        <f>Свод_RJKAM!V20</f>
        <v>0</v>
      </c>
      <c r="V33" s="59">
        <f>Свод_RJKAM!W20</f>
        <v>0</v>
      </c>
      <c r="W33" s="59">
        <f>Свод_RJKAM!X20</f>
        <v>0</v>
      </c>
      <c r="X33" s="59">
        <f>Свод_RJKAM!Y20</f>
        <v>0</v>
      </c>
      <c r="Y33" s="59">
        <f>Свод_RJKAM!Z20</f>
        <v>0</v>
      </c>
      <c r="Z33" s="59">
        <f>Свод_RJKAM!AA20</f>
        <v>0</v>
      </c>
      <c r="AA33" s="59">
        <f>Свод_RJKAM!AB20</f>
        <v>0</v>
      </c>
      <c r="AB33" s="59">
        <f>Свод_RJKAM!AC20</f>
        <v>0</v>
      </c>
      <c r="AC33" s="59">
        <f>Свод_RJKAM!AD20</f>
        <v>0</v>
      </c>
      <c r="AD33" s="59">
        <f>Свод_RJKAM!AE20</f>
        <v>0</v>
      </c>
      <c r="AE33" s="59">
        <f>Свод_RJKAM!AF20</f>
        <v>0</v>
      </c>
    </row>
    <row r="34" spans="1:31" ht="15.75" customHeight="1" x14ac:dyDescent="0.25">
      <c r="A34" s="56">
        <f t="shared" ref="A34:A40" si="5">A33+1</f>
        <v>3</v>
      </c>
      <c r="B34" s="57">
        <v>478231</v>
      </c>
      <c r="C34" s="57" t="str">
        <f>Свод_RJKAM!D33</f>
        <v>Подсекина Т.</v>
      </c>
      <c r="D34" s="58">
        <f>Свод_RJKAM!E33</f>
        <v>21</v>
      </c>
      <c r="E34" s="58">
        <f>Свод_RJKAM!F33</f>
        <v>16</v>
      </c>
      <c r="F34" s="58">
        <f>Свод_RJKAM!G33</f>
        <v>37</v>
      </c>
      <c r="G34" s="59">
        <f>Свод_RJKAM!H33</f>
        <v>0</v>
      </c>
      <c r="H34" s="59">
        <f>Свод_RJKAM!I33</f>
        <v>0</v>
      </c>
      <c r="I34" s="59">
        <f>Свод_RJKAM!J33</f>
        <v>0</v>
      </c>
      <c r="J34" s="59">
        <f>Свод_RJKAM!K33</f>
        <v>0</v>
      </c>
      <c r="K34" s="59">
        <f>Свод_RJKAM!L33</f>
        <v>0</v>
      </c>
      <c r="L34" s="59">
        <f>Свод_RJKAM!M33</f>
        <v>0</v>
      </c>
      <c r="M34" s="59">
        <f>Свод_RJKAM!N33</f>
        <v>0</v>
      </c>
      <c r="N34" s="59">
        <f>Свод_RJKAM!O33</f>
        <v>0</v>
      </c>
      <c r="O34" s="59">
        <f>Свод_RJKAM!P33</f>
        <v>0</v>
      </c>
      <c r="P34" s="59">
        <f>Свод_RJKAM!Q33</f>
        <v>0</v>
      </c>
      <c r="Q34" s="59">
        <f>Свод_RJKAM!R33</f>
        <v>0</v>
      </c>
      <c r="R34" s="59">
        <f>Свод_RJKAM!S33</f>
        <v>0</v>
      </c>
      <c r="S34" s="59">
        <f>Свод_RJKAM!T33</f>
        <v>0</v>
      </c>
      <c r="T34" s="59">
        <f>Свод_RJKAM!U33</f>
        <v>0</v>
      </c>
      <c r="U34" s="59">
        <f>Свод_RJKAM!V33</f>
        <v>0</v>
      </c>
      <c r="V34" s="59">
        <f>Свод_RJKAM!W33</f>
        <v>0</v>
      </c>
      <c r="W34" s="59">
        <f>Свод_RJKAM!X33</f>
        <v>0</v>
      </c>
      <c r="X34" s="59">
        <f>Свод_RJKAM!Y33</f>
        <v>0</v>
      </c>
      <c r="Y34" s="59">
        <f>Свод_RJKAM!Z33</f>
        <v>0</v>
      </c>
      <c r="Z34" s="59">
        <f>Свод_RJKAM!AA33</f>
        <v>0</v>
      </c>
      <c r="AA34" s="59">
        <f>Свод_RJKAM!AB33</f>
        <v>0</v>
      </c>
      <c r="AB34" s="59">
        <f>Свод_RJKAM!AC33</f>
        <v>0</v>
      </c>
      <c r="AC34" s="59">
        <f>Свод_RJKAM!AD33</f>
        <v>0</v>
      </c>
      <c r="AD34" s="59">
        <f>Свод_RJKAM!AE33</f>
        <v>0</v>
      </c>
      <c r="AE34" s="59">
        <f>Свод_RJKAM!AF33</f>
        <v>0</v>
      </c>
    </row>
    <row r="35" spans="1:31" ht="15.75" customHeight="1" x14ac:dyDescent="0.25">
      <c r="A35" s="56">
        <f t="shared" si="5"/>
        <v>4</v>
      </c>
      <c r="B35" s="57">
        <v>476735</v>
      </c>
      <c r="C35" s="57" t="str">
        <f>Свод_RJKAM!D39</f>
        <v>Ворновской Э.</v>
      </c>
      <c r="D35" s="58">
        <f>Свод_RJKAM!E39</f>
        <v>4</v>
      </c>
      <c r="E35" s="58">
        <f>Свод_RJKAM!F39</f>
        <v>1</v>
      </c>
      <c r="F35" s="58">
        <f>Свод_RJKAM!G39</f>
        <v>5</v>
      </c>
      <c r="G35" s="59">
        <f>Свод_RJKAM!H39</f>
        <v>0</v>
      </c>
      <c r="H35" s="59">
        <f>Свод_RJKAM!I39</f>
        <v>0</v>
      </c>
      <c r="I35" s="59">
        <f>Свод_RJKAM!J39</f>
        <v>0</v>
      </c>
      <c r="J35" s="59">
        <f>Свод_RJKAM!K39</f>
        <v>0</v>
      </c>
      <c r="K35" s="59">
        <f>Свод_RJKAM!L39</f>
        <v>0</v>
      </c>
      <c r="L35" s="59">
        <f>Свод_RJKAM!M39</f>
        <v>0</v>
      </c>
      <c r="M35" s="59">
        <f>Свод_RJKAM!N39</f>
        <v>0</v>
      </c>
      <c r="N35" s="59">
        <f>Свод_RJKAM!O39</f>
        <v>0</v>
      </c>
      <c r="O35" s="59">
        <f>Свод_RJKAM!P39</f>
        <v>0</v>
      </c>
      <c r="P35" s="59">
        <f>Свод_RJKAM!Q39</f>
        <v>0</v>
      </c>
      <c r="Q35" s="59">
        <f>Свод_RJKAM!R39</f>
        <v>0</v>
      </c>
      <c r="R35" s="59">
        <f>Свод_RJKAM!S39</f>
        <v>0</v>
      </c>
      <c r="S35" s="59">
        <f>Свод_RJKAM!T39</f>
        <v>0</v>
      </c>
      <c r="T35" s="59">
        <f>Свод_RJKAM!U39</f>
        <v>0</v>
      </c>
      <c r="U35" s="59">
        <f>Свод_RJKAM!V39</f>
        <v>0</v>
      </c>
      <c r="V35" s="59">
        <f>Свод_RJKAM!W39</f>
        <v>0</v>
      </c>
      <c r="W35" s="59">
        <f>Свод_RJKAM!X39</f>
        <v>0</v>
      </c>
      <c r="X35" s="59">
        <f>Свод_RJKAM!Y39</f>
        <v>0</v>
      </c>
      <c r="Y35" s="59">
        <f>Свод_RJKAM!Z39</f>
        <v>0</v>
      </c>
      <c r="Z35" s="59">
        <f>Свод_RJKAM!AA39</f>
        <v>0</v>
      </c>
      <c r="AA35" s="59">
        <f>Свод_RJKAM!AB39</f>
        <v>0</v>
      </c>
      <c r="AB35" s="59">
        <f>Свод_RJKAM!AC39</f>
        <v>0</v>
      </c>
      <c r="AC35" s="59">
        <f>Свод_RJKAM!AD39</f>
        <v>0</v>
      </c>
      <c r="AD35" s="59">
        <f>Свод_RJKAM!AE39</f>
        <v>0</v>
      </c>
      <c r="AE35" s="59">
        <f>Свод_RJKAM!AF39</f>
        <v>0</v>
      </c>
    </row>
    <row r="36" spans="1:31" ht="15.75" customHeight="1" x14ac:dyDescent="0.25">
      <c r="A36" s="56">
        <f t="shared" si="5"/>
        <v>5</v>
      </c>
      <c r="B36" s="57">
        <v>476904</v>
      </c>
      <c r="C36" s="57" t="str">
        <f>Свод_RJKAM!D46</f>
        <v>Галкина В.</v>
      </c>
      <c r="D36" s="58">
        <f>Свод_RJKAM!E46</f>
        <v>1</v>
      </c>
      <c r="E36" s="58">
        <f>Свод_RJKAM!F46</f>
        <v>1</v>
      </c>
      <c r="F36" s="58">
        <f>Свод_RJKAM!G46</f>
        <v>2</v>
      </c>
      <c r="G36" s="59">
        <f>Свод_RJKAM!H46</f>
        <v>0</v>
      </c>
      <c r="H36" s="59">
        <f>Свод_RJKAM!I46</f>
        <v>0</v>
      </c>
      <c r="I36" s="59">
        <f>Свод_RJKAM!J46</f>
        <v>0</v>
      </c>
      <c r="J36" s="59">
        <f>Свод_RJKAM!K46</f>
        <v>0</v>
      </c>
      <c r="K36" s="59">
        <f>Свод_RJKAM!L46</f>
        <v>0</v>
      </c>
      <c r="L36" s="59">
        <f>Свод_RJKAM!M46</f>
        <v>0</v>
      </c>
      <c r="M36" s="59">
        <f>Свод_RJKAM!N46</f>
        <v>0</v>
      </c>
      <c r="N36" s="59">
        <f>Свод_RJKAM!O46</f>
        <v>0</v>
      </c>
      <c r="O36" s="59">
        <f>Свод_RJKAM!P46</f>
        <v>0</v>
      </c>
      <c r="P36" s="59">
        <f>Свод_RJKAM!Q46</f>
        <v>0</v>
      </c>
      <c r="Q36" s="59">
        <f>Свод_RJKAM!R46</f>
        <v>0</v>
      </c>
      <c r="R36" s="59">
        <f>Свод_RJKAM!S46</f>
        <v>0</v>
      </c>
      <c r="S36" s="59">
        <f>Свод_RJKAM!T46</f>
        <v>0</v>
      </c>
      <c r="T36" s="59">
        <f>Свод_RJKAM!U46</f>
        <v>0</v>
      </c>
      <c r="U36" s="59">
        <f>Свод_RJKAM!V46</f>
        <v>0</v>
      </c>
      <c r="V36" s="59">
        <f>Свод_RJKAM!W46</f>
        <v>0</v>
      </c>
      <c r="W36" s="59">
        <f>Свод_RJKAM!X46</f>
        <v>0</v>
      </c>
      <c r="X36" s="59">
        <f>Свод_RJKAM!Y46</f>
        <v>0</v>
      </c>
      <c r="Y36" s="59">
        <f>Свод_RJKAM!Z46</f>
        <v>0</v>
      </c>
      <c r="Z36" s="59">
        <f>Свод_RJKAM!AA46</f>
        <v>0</v>
      </c>
      <c r="AA36" s="59">
        <f>Свод_RJKAM!AB46</f>
        <v>0</v>
      </c>
      <c r="AB36" s="59">
        <f>Свод_RJKAM!AC46</f>
        <v>0</v>
      </c>
      <c r="AC36" s="59">
        <f>Свод_RJKAM!AD46</f>
        <v>0</v>
      </c>
      <c r="AD36" s="59">
        <f>Свод_RJKAM!AE46</f>
        <v>0</v>
      </c>
      <c r="AE36" s="59">
        <f>Свод_RJKAM!AF46</f>
        <v>0</v>
      </c>
    </row>
    <row r="37" spans="1:31" ht="15.75" customHeight="1" x14ac:dyDescent="0.25">
      <c r="A37" s="56">
        <f t="shared" si="5"/>
        <v>6</v>
      </c>
      <c r="B37" s="57">
        <v>476900</v>
      </c>
      <c r="C37" s="57" t="str">
        <f>Свод_RJKAM!D53</f>
        <v>Назмутдинов В.</v>
      </c>
      <c r="D37" s="58">
        <f>Свод_RJKAM!E53</f>
        <v>3</v>
      </c>
      <c r="E37" s="58">
        <f>Свод_RJKAM!F53</f>
        <v>0</v>
      </c>
      <c r="F37" s="58">
        <f>Свод_RJKAM!G53</f>
        <v>3</v>
      </c>
      <c r="G37" s="59">
        <f>Свод_RJKAM!H53</f>
        <v>0</v>
      </c>
      <c r="H37" s="59">
        <f>Свод_RJKAM!I53</f>
        <v>0</v>
      </c>
      <c r="I37" s="59">
        <f>Свод_RJKAM!J53</f>
        <v>0</v>
      </c>
      <c r="J37" s="59">
        <f>Свод_RJKAM!K53</f>
        <v>0</v>
      </c>
      <c r="K37" s="59">
        <f>Свод_RJKAM!L53</f>
        <v>0</v>
      </c>
      <c r="L37" s="59">
        <f>Свод_RJKAM!M53</f>
        <v>0</v>
      </c>
      <c r="M37" s="59">
        <f>Свод_RJKAM!N53</f>
        <v>0</v>
      </c>
      <c r="N37" s="59">
        <f>Свод_RJKAM!O53</f>
        <v>0</v>
      </c>
      <c r="O37" s="59">
        <f>Свод_RJKAM!P53</f>
        <v>0</v>
      </c>
      <c r="P37" s="59">
        <f>Свод_RJKAM!Q53</f>
        <v>0</v>
      </c>
      <c r="Q37" s="59">
        <f>Свод_RJKAM!R53</f>
        <v>0</v>
      </c>
      <c r="R37" s="59">
        <f>Свод_RJKAM!S53</f>
        <v>0</v>
      </c>
      <c r="S37" s="59">
        <f>Свод_RJKAM!T53</f>
        <v>0</v>
      </c>
      <c r="T37" s="59">
        <f>Свод_RJKAM!U53</f>
        <v>0</v>
      </c>
      <c r="U37" s="59">
        <f>Свод_RJKAM!V53</f>
        <v>0</v>
      </c>
      <c r="V37" s="59">
        <f>Свод_RJKAM!W53</f>
        <v>0</v>
      </c>
      <c r="W37" s="59">
        <f>Свод_RJKAM!X53</f>
        <v>0</v>
      </c>
      <c r="X37" s="59">
        <f>Свод_RJKAM!Y53</f>
        <v>0</v>
      </c>
      <c r="Y37" s="59">
        <f>Свод_RJKAM!Z53</f>
        <v>0</v>
      </c>
      <c r="Z37" s="59">
        <f>Свод_RJKAM!AA53</f>
        <v>0</v>
      </c>
      <c r="AA37" s="59">
        <f>Свод_RJKAM!AB53</f>
        <v>0</v>
      </c>
      <c r="AB37" s="59">
        <f>Свод_RJKAM!AC53</f>
        <v>0</v>
      </c>
      <c r="AC37" s="59">
        <f>Свод_RJKAM!AD53</f>
        <v>0</v>
      </c>
      <c r="AD37" s="59">
        <f>Свод_RJKAM!AE53</f>
        <v>0</v>
      </c>
      <c r="AE37" s="59">
        <f>Свод_RJKAM!AF53</f>
        <v>0</v>
      </c>
    </row>
    <row r="38" spans="1:31" ht="15.75" customHeight="1" x14ac:dyDescent="0.25">
      <c r="A38" s="56">
        <f t="shared" si="5"/>
        <v>7</v>
      </c>
      <c r="B38" s="57">
        <v>477760</v>
      </c>
      <c r="C38" s="57" t="str">
        <f>Свод_RJKAM!D60</f>
        <v>Иванов В.</v>
      </c>
      <c r="D38" s="58">
        <f>Свод_RJKAM!E60</f>
        <v>3</v>
      </c>
      <c r="E38" s="58">
        <f>Свод_RJKAM!F60</f>
        <v>0</v>
      </c>
      <c r="F38" s="58">
        <f>Свод_RJKAM!G60</f>
        <v>3</v>
      </c>
      <c r="G38" s="59">
        <f>Свод_RJKAM!H60</f>
        <v>0</v>
      </c>
      <c r="H38" s="59">
        <f>Свод_RJKAM!I60</f>
        <v>0</v>
      </c>
      <c r="I38" s="59">
        <f>Свод_RJKAM!J60</f>
        <v>0</v>
      </c>
      <c r="J38" s="59">
        <f>Свод_RJKAM!K60</f>
        <v>0</v>
      </c>
      <c r="K38" s="59">
        <f>Свод_RJKAM!L60</f>
        <v>0</v>
      </c>
      <c r="L38" s="59">
        <f>Свод_RJKAM!M60</f>
        <v>0</v>
      </c>
      <c r="M38" s="59">
        <f>Свод_RJKAM!N60</f>
        <v>0</v>
      </c>
      <c r="N38" s="59">
        <f>Свод_RJKAM!O60</f>
        <v>0</v>
      </c>
      <c r="O38" s="59">
        <f>Свод_RJKAM!P60</f>
        <v>0</v>
      </c>
      <c r="P38" s="59">
        <f>Свод_RJKAM!Q60</f>
        <v>0</v>
      </c>
      <c r="Q38" s="59">
        <f>Свод_RJKAM!R60</f>
        <v>0</v>
      </c>
      <c r="R38" s="59">
        <f>Свод_RJKAM!S60</f>
        <v>0</v>
      </c>
      <c r="S38" s="59">
        <f>Свод_RJKAM!T60</f>
        <v>0</v>
      </c>
      <c r="T38" s="59">
        <f>Свод_RJKAM!U60</f>
        <v>0</v>
      </c>
      <c r="U38" s="59">
        <f>Свод_RJKAM!V60</f>
        <v>0</v>
      </c>
      <c r="V38" s="59">
        <f>Свод_RJKAM!W60</f>
        <v>0</v>
      </c>
      <c r="W38" s="59">
        <f>Свод_RJKAM!X60</f>
        <v>0</v>
      </c>
      <c r="X38" s="59">
        <f>Свод_RJKAM!Y60</f>
        <v>0</v>
      </c>
      <c r="Y38" s="59">
        <f>Свод_RJKAM!Z60</f>
        <v>0</v>
      </c>
      <c r="Z38" s="59">
        <f>Свод_RJKAM!AA60</f>
        <v>0</v>
      </c>
      <c r="AA38" s="59">
        <f>Свод_RJKAM!AB60</f>
        <v>0</v>
      </c>
      <c r="AB38" s="59">
        <f>Свод_RJKAM!AC60</f>
        <v>0</v>
      </c>
      <c r="AC38" s="59">
        <f>Свод_RJKAM!AD60</f>
        <v>0</v>
      </c>
      <c r="AD38" s="59">
        <f>Свод_RJKAM!AE60</f>
        <v>0</v>
      </c>
      <c r="AE38" s="59">
        <f>Свод_RJKAM!AF60</f>
        <v>0</v>
      </c>
    </row>
    <row r="39" spans="1:31" ht="15.75" customHeight="1" x14ac:dyDescent="0.25">
      <c r="A39" s="56">
        <f t="shared" si="5"/>
        <v>8</v>
      </c>
      <c r="B39" s="57">
        <v>477759</v>
      </c>
      <c r="C39" s="57" t="str">
        <f>Свод_RJKAM!D67</f>
        <v>Тептина Д.</v>
      </c>
      <c r="D39" s="58">
        <f>Свод_RJKAM!E67</f>
        <v>2</v>
      </c>
      <c r="E39" s="58">
        <f>Свод_RJKAM!F67</f>
        <v>0</v>
      </c>
      <c r="F39" s="58">
        <f>Свод_RJKAM!G67</f>
        <v>2</v>
      </c>
      <c r="G39" s="59">
        <f>Свод_RJKAM!H67</f>
        <v>0</v>
      </c>
      <c r="H39" s="59">
        <f>Свод_RJKAM!I67</f>
        <v>0</v>
      </c>
      <c r="I39" s="59">
        <f>Свод_RJKAM!J67</f>
        <v>0</v>
      </c>
      <c r="J39" s="59">
        <f>Свод_RJKAM!K67</f>
        <v>0</v>
      </c>
      <c r="K39" s="59">
        <f>Свод_RJKAM!L67</f>
        <v>0</v>
      </c>
      <c r="L39" s="59">
        <f>Свод_RJKAM!M67</f>
        <v>0</v>
      </c>
      <c r="M39" s="59">
        <f>Свод_RJKAM!N67</f>
        <v>0</v>
      </c>
      <c r="N39" s="59">
        <f>Свод_RJKAM!O67</f>
        <v>0</v>
      </c>
      <c r="O39" s="59">
        <f>Свод_RJKAM!P67</f>
        <v>0</v>
      </c>
      <c r="P39" s="59">
        <f>Свод_RJKAM!Q67</f>
        <v>0</v>
      </c>
      <c r="Q39" s="59">
        <f>Свод_RJKAM!R67</f>
        <v>0</v>
      </c>
      <c r="R39" s="59">
        <f>Свод_RJKAM!S67</f>
        <v>0</v>
      </c>
      <c r="S39" s="59">
        <f>Свод_RJKAM!T67</f>
        <v>0</v>
      </c>
      <c r="T39" s="59">
        <f>Свод_RJKAM!U67</f>
        <v>0</v>
      </c>
      <c r="U39" s="59">
        <f>Свод_RJKAM!V67</f>
        <v>0</v>
      </c>
      <c r="V39" s="59">
        <f>Свод_RJKAM!W67</f>
        <v>0</v>
      </c>
      <c r="W39" s="59">
        <f>Свод_RJKAM!X67</f>
        <v>0</v>
      </c>
      <c r="X39" s="59">
        <f>Свод_RJKAM!Y67</f>
        <v>0</v>
      </c>
      <c r="Y39" s="59">
        <f>Свод_RJKAM!Z67</f>
        <v>0</v>
      </c>
      <c r="Z39" s="59">
        <f>Свод_RJKAM!AA67</f>
        <v>0</v>
      </c>
      <c r="AA39" s="59">
        <f>Свод_RJKAM!AB67</f>
        <v>0</v>
      </c>
      <c r="AB39" s="59">
        <f>Свод_RJKAM!AC67</f>
        <v>0</v>
      </c>
      <c r="AC39" s="59">
        <f>Свод_RJKAM!AD67</f>
        <v>0</v>
      </c>
      <c r="AD39" s="59">
        <f>Свод_RJKAM!AE67</f>
        <v>0</v>
      </c>
      <c r="AE39" s="59">
        <f>Свод_RJKAM!AF67</f>
        <v>0</v>
      </c>
    </row>
    <row r="40" spans="1:31" ht="15.75" customHeight="1" x14ac:dyDescent="0.25">
      <c r="A40" s="56">
        <f t="shared" si="5"/>
        <v>9</v>
      </c>
      <c r="B40" s="60">
        <v>478232</v>
      </c>
      <c r="C40" s="60" t="str">
        <f>Свод_RJKAM!D87</f>
        <v>Самылин М.</v>
      </c>
      <c r="D40" s="61">
        <f>Свод_RJKAM!E87</f>
        <v>3</v>
      </c>
      <c r="E40" s="61">
        <f>Свод_RJKAM!F87</f>
        <v>0</v>
      </c>
      <c r="F40" s="61">
        <f>Свод_RJKAM!G87</f>
        <v>3</v>
      </c>
      <c r="G40" s="62">
        <f>Свод_RJKAM!H87</f>
        <v>0</v>
      </c>
      <c r="H40" s="62">
        <f>Свод_RJKAM!I87</f>
        <v>0</v>
      </c>
      <c r="I40" s="62">
        <f>Свод_RJKAM!J87</f>
        <v>0</v>
      </c>
      <c r="J40" s="62">
        <f>Свод_RJKAM!K87</f>
        <v>0</v>
      </c>
      <c r="K40" s="62">
        <f>Свод_RJKAM!L87</f>
        <v>0</v>
      </c>
      <c r="L40" s="62">
        <f>Свод_RJKAM!M87</f>
        <v>0</v>
      </c>
      <c r="M40" s="62">
        <f>Свод_RJKAM!N87</f>
        <v>0</v>
      </c>
      <c r="N40" s="62">
        <f>Свод_RJKAM!O87</f>
        <v>0</v>
      </c>
      <c r="O40" s="62">
        <f>Свод_RJKAM!P87</f>
        <v>0</v>
      </c>
      <c r="P40" s="62">
        <f>Свод_RJKAM!Q87</f>
        <v>0</v>
      </c>
      <c r="Q40" s="62">
        <f>Свод_RJKAM!R87</f>
        <v>0</v>
      </c>
      <c r="R40" s="62">
        <f>Свод_RJKAM!S87</f>
        <v>0</v>
      </c>
      <c r="S40" s="62">
        <f>Свод_RJKAM!T87</f>
        <v>0</v>
      </c>
      <c r="T40" s="62">
        <f>Свод_RJKAM!U87</f>
        <v>0</v>
      </c>
      <c r="U40" s="62">
        <f>Свод_RJKAM!V87</f>
        <v>0</v>
      </c>
      <c r="V40" s="62">
        <f>Свод_RJKAM!W87</f>
        <v>0</v>
      </c>
      <c r="W40" s="62">
        <f>Свод_RJKAM!X87</f>
        <v>0</v>
      </c>
      <c r="X40" s="62">
        <f>Свод_RJKAM!Y87</f>
        <v>0</v>
      </c>
      <c r="Y40" s="62">
        <f>Свод_RJKAM!Z87</f>
        <v>0</v>
      </c>
      <c r="Z40" s="62">
        <f>Свод_RJKAM!AA87</f>
        <v>0</v>
      </c>
      <c r="AA40" s="62">
        <f>Свод_RJKAM!AB87</f>
        <v>0</v>
      </c>
      <c r="AB40" s="62">
        <f>Свод_RJKAM!AC87</f>
        <v>0</v>
      </c>
      <c r="AC40" s="62">
        <f>Свод_RJKAM!AD87</f>
        <v>0</v>
      </c>
      <c r="AD40" s="62">
        <f>Свод_RJKAM!AE87</f>
        <v>0</v>
      </c>
      <c r="AE40" s="62">
        <f>Свод_RJKAM!AF87</f>
        <v>0</v>
      </c>
    </row>
    <row r="41" spans="1:31" ht="15.75" customHeight="1" x14ac:dyDescent="0.25">
      <c r="A41" s="63">
        <v>4</v>
      </c>
      <c r="B41" s="48">
        <v>2703</v>
      </c>
      <c r="C41" s="48" t="s">
        <v>84</v>
      </c>
      <c r="D41" s="49">
        <f>SUM(D42:D53)</f>
        <v>77</v>
      </c>
      <c r="E41" s="49">
        <f>SUM(E42:E53)</f>
        <v>41</v>
      </c>
      <c r="F41" s="49">
        <f>SUM(F42:F53)</f>
        <v>118</v>
      </c>
      <c r="G41" s="50">
        <f>AVERAGE(G42:G53)</f>
        <v>0</v>
      </c>
      <c r="H41" s="50">
        <f t="shared" ref="H41:AE41" si="6">AVERAGE(H42:H53)</f>
        <v>0</v>
      </c>
      <c r="I41" s="50">
        <f t="shared" si="6"/>
        <v>0</v>
      </c>
      <c r="J41" s="50">
        <f t="shared" si="6"/>
        <v>0</v>
      </c>
      <c r="K41" s="50">
        <f t="shared" si="6"/>
        <v>0</v>
      </c>
      <c r="L41" s="50">
        <f t="shared" si="6"/>
        <v>0</v>
      </c>
      <c r="M41" s="50">
        <f t="shared" si="6"/>
        <v>0</v>
      </c>
      <c r="N41" s="50">
        <f t="shared" si="6"/>
        <v>0</v>
      </c>
      <c r="O41" s="50">
        <f t="shared" si="6"/>
        <v>0</v>
      </c>
      <c r="P41" s="50">
        <f t="shared" si="6"/>
        <v>0</v>
      </c>
      <c r="Q41" s="50">
        <f t="shared" si="6"/>
        <v>0</v>
      </c>
      <c r="R41" s="50">
        <f t="shared" si="6"/>
        <v>0</v>
      </c>
      <c r="S41" s="50">
        <f t="shared" si="6"/>
        <v>0</v>
      </c>
      <c r="T41" s="50">
        <f t="shared" si="6"/>
        <v>0</v>
      </c>
      <c r="U41" s="50">
        <f t="shared" si="6"/>
        <v>0</v>
      </c>
      <c r="V41" s="50">
        <f t="shared" si="6"/>
        <v>0</v>
      </c>
      <c r="W41" s="50">
        <f t="shared" si="6"/>
        <v>0</v>
      </c>
      <c r="X41" s="50">
        <f t="shared" si="6"/>
        <v>0</v>
      </c>
      <c r="Y41" s="50">
        <f t="shared" si="6"/>
        <v>0</v>
      </c>
      <c r="Z41" s="50">
        <f t="shared" si="6"/>
        <v>0</v>
      </c>
      <c r="AA41" s="50">
        <f t="shared" si="6"/>
        <v>0</v>
      </c>
      <c r="AB41" s="50">
        <f t="shared" si="6"/>
        <v>0</v>
      </c>
      <c r="AC41" s="50">
        <f t="shared" si="6"/>
        <v>0</v>
      </c>
      <c r="AD41" s="50">
        <f t="shared" si="6"/>
        <v>0</v>
      </c>
      <c r="AE41" s="50">
        <f t="shared" si="6"/>
        <v>0</v>
      </c>
    </row>
    <row r="42" spans="1:31" ht="15.75" customHeight="1" x14ac:dyDescent="0.25">
      <c r="A42" s="51">
        <v>1</v>
      </c>
      <c r="B42" s="52">
        <v>477431</v>
      </c>
      <c r="C42" s="52" t="str">
        <f>Свод_RJKAM!D7</f>
        <v>Беспятов В.</v>
      </c>
      <c r="D42" s="53">
        <f>Свод_RJKAM!E7</f>
        <v>5</v>
      </c>
      <c r="E42" s="53">
        <f>Свод_RJKAM!F7</f>
        <v>0</v>
      </c>
      <c r="F42" s="53">
        <f>Свод_RJKAM!G7</f>
        <v>5</v>
      </c>
      <c r="G42" s="54">
        <f>Свод_RJKAM!H7</f>
        <v>0</v>
      </c>
      <c r="H42" s="54">
        <f>Свод_RJKAM!I7</f>
        <v>0</v>
      </c>
      <c r="I42" s="54">
        <f>Свод_RJKAM!J7</f>
        <v>0</v>
      </c>
      <c r="J42" s="54">
        <f>Свод_RJKAM!K7</f>
        <v>0</v>
      </c>
      <c r="K42" s="54">
        <f>Свод_RJKAM!L7</f>
        <v>0</v>
      </c>
      <c r="L42" s="54">
        <f>Свод_RJKAM!M7</f>
        <v>0</v>
      </c>
      <c r="M42" s="54">
        <f>Свод_RJKAM!N7</f>
        <v>0</v>
      </c>
      <c r="N42" s="54">
        <f>Свод_RJKAM!O7</f>
        <v>0</v>
      </c>
      <c r="O42" s="54">
        <f>Свод_RJKAM!P7</f>
        <v>0</v>
      </c>
      <c r="P42" s="54">
        <f>Свод_RJKAM!Q7</f>
        <v>0</v>
      </c>
      <c r="Q42" s="54">
        <f>Свод_RJKAM!R7</f>
        <v>0</v>
      </c>
      <c r="R42" s="54">
        <f>Свод_RJKAM!S7</f>
        <v>0</v>
      </c>
      <c r="S42" s="54">
        <f>Свод_RJKAM!T7</f>
        <v>0</v>
      </c>
      <c r="T42" s="54">
        <f>Свод_RJKAM!U7</f>
        <v>0</v>
      </c>
      <c r="U42" s="54">
        <f>Свод_RJKAM!V7</f>
        <v>0</v>
      </c>
      <c r="V42" s="54">
        <f>Свод_RJKAM!W7</f>
        <v>0</v>
      </c>
      <c r="W42" s="54">
        <f>Свод_RJKAM!X7</f>
        <v>0</v>
      </c>
      <c r="X42" s="54">
        <f>Свод_RJKAM!Y7</f>
        <v>0</v>
      </c>
      <c r="Y42" s="54">
        <f>Свод_RJKAM!Z7</f>
        <v>0</v>
      </c>
      <c r="Z42" s="54">
        <f>Свод_RJKAM!AA7</f>
        <v>0</v>
      </c>
      <c r="AA42" s="54">
        <f>Свод_RJKAM!AB7</f>
        <v>0</v>
      </c>
      <c r="AB42" s="54">
        <f>Свод_RJKAM!AC7</f>
        <v>0</v>
      </c>
      <c r="AC42" s="54">
        <f>Свод_RJKAM!AD7</f>
        <v>0</v>
      </c>
      <c r="AD42" s="54">
        <f>Свод_RJKAM!AE7</f>
        <v>0</v>
      </c>
      <c r="AE42" s="54">
        <f>Свод_RJKAM!AF7</f>
        <v>0</v>
      </c>
    </row>
    <row r="43" spans="1:31" ht="15.75" customHeight="1" x14ac:dyDescent="0.25">
      <c r="A43" s="56">
        <f>A42+1</f>
        <v>2</v>
      </c>
      <c r="B43" s="57">
        <v>478488</v>
      </c>
      <c r="C43" s="57" t="str">
        <f>Свод_RJKAM!D14</f>
        <v>Белова Н.</v>
      </c>
      <c r="D43" s="58">
        <f>Свод_RJKAM!E14</f>
        <v>5</v>
      </c>
      <c r="E43" s="58">
        <f>Свод_RJKAM!F14</f>
        <v>0</v>
      </c>
      <c r="F43" s="58">
        <f>Свод_RJKAM!G14</f>
        <v>5</v>
      </c>
      <c r="G43" s="59">
        <f>Свод_RJKAM!H14</f>
        <v>0</v>
      </c>
      <c r="H43" s="59">
        <f>Свод_RJKAM!I14</f>
        <v>0</v>
      </c>
      <c r="I43" s="59">
        <f>Свод_RJKAM!J14</f>
        <v>0</v>
      </c>
      <c r="J43" s="59">
        <f>Свод_RJKAM!K14</f>
        <v>0</v>
      </c>
      <c r="K43" s="59">
        <f>Свод_RJKAM!L14</f>
        <v>0</v>
      </c>
      <c r="L43" s="59">
        <f>Свод_RJKAM!M14</f>
        <v>0</v>
      </c>
      <c r="M43" s="59">
        <f>Свод_RJKAM!N14</f>
        <v>0</v>
      </c>
      <c r="N43" s="59">
        <f>Свод_RJKAM!O14</f>
        <v>0</v>
      </c>
      <c r="O43" s="59">
        <f>Свод_RJKAM!P14</f>
        <v>0</v>
      </c>
      <c r="P43" s="59">
        <f>Свод_RJKAM!Q14</f>
        <v>0</v>
      </c>
      <c r="Q43" s="59">
        <f>Свод_RJKAM!R14</f>
        <v>0</v>
      </c>
      <c r="R43" s="59">
        <f>Свод_RJKAM!S14</f>
        <v>0</v>
      </c>
      <c r="S43" s="59">
        <f>Свод_RJKAM!T14</f>
        <v>0</v>
      </c>
      <c r="T43" s="59">
        <f>Свод_RJKAM!U14</f>
        <v>0</v>
      </c>
      <c r="U43" s="59">
        <f>Свод_RJKAM!V14</f>
        <v>0</v>
      </c>
      <c r="V43" s="59">
        <f>Свод_RJKAM!W14</f>
        <v>0</v>
      </c>
      <c r="W43" s="59">
        <f>Свод_RJKAM!X14</f>
        <v>0</v>
      </c>
      <c r="X43" s="59">
        <f>Свод_RJKAM!Y14</f>
        <v>0</v>
      </c>
      <c r="Y43" s="59">
        <f>Свод_RJKAM!Z14</f>
        <v>0</v>
      </c>
      <c r="Z43" s="59">
        <f>Свод_RJKAM!AA14</f>
        <v>0</v>
      </c>
      <c r="AA43" s="59">
        <f>Свод_RJKAM!AB14</f>
        <v>0</v>
      </c>
      <c r="AB43" s="59">
        <f>Свод_RJKAM!AC14</f>
        <v>0</v>
      </c>
      <c r="AC43" s="59">
        <f>Свод_RJKAM!AD14</f>
        <v>0</v>
      </c>
      <c r="AD43" s="59">
        <f>Свод_RJKAM!AE14</f>
        <v>0</v>
      </c>
      <c r="AE43" s="59">
        <f>Свод_RJKAM!AF14</f>
        <v>0</v>
      </c>
    </row>
    <row r="44" spans="1:31" ht="15.75" customHeight="1" x14ac:dyDescent="0.25">
      <c r="A44" s="56">
        <f t="shared" ref="A44:A53" si="7">A43+1</f>
        <v>3</v>
      </c>
      <c r="B44" s="57">
        <v>476998</v>
      </c>
      <c r="C44" s="57" t="str">
        <f>Свод_RJKAM!D23</f>
        <v>Воронова М.</v>
      </c>
      <c r="D44" s="58">
        <f>Свод_RJKAM!E23</f>
        <v>9</v>
      </c>
      <c r="E44" s="58">
        <f>Свод_RJKAM!F23</f>
        <v>30</v>
      </c>
      <c r="F44" s="58">
        <f>Свод_RJKAM!G23</f>
        <v>39</v>
      </c>
      <c r="G44" s="59">
        <f>Свод_RJKAM!H23</f>
        <v>0</v>
      </c>
      <c r="H44" s="59">
        <f>Свод_RJKAM!I23</f>
        <v>0</v>
      </c>
      <c r="I44" s="59">
        <f>Свод_RJKAM!J23</f>
        <v>0</v>
      </c>
      <c r="J44" s="59">
        <f>Свод_RJKAM!K23</f>
        <v>0</v>
      </c>
      <c r="K44" s="59">
        <f>Свод_RJKAM!L23</f>
        <v>0</v>
      </c>
      <c r="L44" s="59">
        <f>Свод_RJKAM!M23</f>
        <v>0</v>
      </c>
      <c r="M44" s="59">
        <f>Свод_RJKAM!N23</f>
        <v>0</v>
      </c>
      <c r="N44" s="59">
        <f>Свод_RJKAM!O23</f>
        <v>0</v>
      </c>
      <c r="O44" s="59">
        <f>Свод_RJKAM!P23</f>
        <v>0</v>
      </c>
      <c r="P44" s="59">
        <f>Свод_RJKAM!Q23</f>
        <v>0</v>
      </c>
      <c r="Q44" s="59">
        <f>Свод_RJKAM!R23</f>
        <v>0</v>
      </c>
      <c r="R44" s="59">
        <f>Свод_RJKAM!S23</f>
        <v>0</v>
      </c>
      <c r="S44" s="59">
        <f>Свод_RJKAM!T23</f>
        <v>0</v>
      </c>
      <c r="T44" s="59">
        <f>Свод_RJKAM!U23</f>
        <v>0</v>
      </c>
      <c r="U44" s="59">
        <f>Свод_RJKAM!V23</f>
        <v>0</v>
      </c>
      <c r="V44" s="59">
        <f>Свод_RJKAM!W23</f>
        <v>0</v>
      </c>
      <c r="W44" s="59">
        <f>Свод_RJKAM!X23</f>
        <v>0</v>
      </c>
      <c r="X44" s="59">
        <f>Свод_RJKAM!Y23</f>
        <v>0</v>
      </c>
      <c r="Y44" s="59">
        <f>Свод_RJKAM!Z23</f>
        <v>0</v>
      </c>
      <c r="Z44" s="59">
        <f>Свод_RJKAM!AA23</f>
        <v>0</v>
      </c>
      <c r="AA44" s="59">
        <f>Свод_RJKAM!AB23</f>
        <v>0</v>
      </c>
      <c r="AB44" s="59">
        <f>Свод_RJKAM!AC23</f>
        <v>0</v>
      </c>
      <c r="AC44" s="59">
        <f>Свод_RJKAM!AD23</f>
        <v>0</v>
      </c>
      <c r="AD44" s="59">
        <f>Свод_RJKAM!AE23</f>
        <v>0</v>
      </c>
      <c r="AE44" s="59">
        <f>Свод_RJKAM!AF23</f>
        <v>0</v>
      </c>
    </row>
    <row r="45" spans="1:31" ht="15.75" customHeight="1" x14ac:dyDescent="0.25">
      <c r="A45" s="56">
        <f t="shared" si="7"/>
        <v>4</v>
      </c>
      <c r="B45" s="57">
        <v>476901</v>
      </c>
      <c r="C45" s="57" t="str">
        <f>Свод_RJKAM!D30</f>
        <v>Штанг Е.</v>
      </c>
      <c r="D45" s="58">
        <f>Свод_RJKAM!E30</f>
        <v>32</v>
      </c>
      <c r="E45" s="58">
        <f>Свод_RJKAM!F30</f>
        <v>11</v>
      </c>
      <c r="F45" s="58">
        <f>Свод_RJKAM!G30</f>
        <v>43</v>
      </c>
      <c r="G45" s="59">
        <f>Свод_RJKAM!H30</f>
        <v>0</v>
      </c>
      <c r="H45" s="59">
        <f>Свод_RJKAM!I30</f>
        <v>0</v>
      </c>
      <c r="I45" s="59">
        <f>Свод_RJKAM!J30</f>
        <v>0</v>
      </c>
      <c r="J45" s="59">
        <f>Свод_RJKAM!K30</f>
        <v>0</v>
      </c>
      <c r="K45" s="59">
        <f>Свод_RJKAM!L30</f>
        <v>0</v>
      </c>
      <c r="L45" s="59">
        <f>Свод_RJKAM!M30</f>
        <v>0</v>
      </c>
      <c r="M45" s="59">
        <f>Свод_RJKAM!N30</f>
        <v>0</v>
      </c>
      <c r="N45" s="59">
        <f>Свод_RJKAM!O30</f>
        <v>0</v>
      </c>
      <c r="O45" s="59">
        <f>Свод_RJKAM!P30</f>
        <v>0</v>
      </c>
      <c r="P45" s="59">
        <f>Свод_RJKAM!Q30</f>
        <v>0</v>
      </c>
      <c r="Q45" s="59">
        <f>Свод_RJKAM!R30</f>
        <v>0</v>
      </c>
      <c r="R45" s="59">
        <f>Свод_RJKAM!S30</f>
        <v>0</v>
      </c>
      <c r="S45" s="59">
        <f>Свод_RJKAM!T30</f>
        <v>0</v>
      </c>
      <c r="T45" s="59">
        <f>Свод_RJKAM!U30</f>
        <v>0</v>
      </c>
      <c r="U45" s="59">
        <f>Свод_RJKAM!V30</f>
        <v>0</v>
      </c>
      <c r="V45" s="59">
        <f>Свод_RJKAM!W30</f>
        <v>0</v>
      </c>
      <c r="W45" s="59">
        <f>Свод_RJKAM!X30</f>
        <v>0</v>
      </c>
      <c r="X45" s="59">
        <f>Свод_RJKAM!Y30</f>
        <v>0</v>
      </c>
      <c r="Y45" s="59">
        <f>Свод_RJKAM!Z30</f>
        <v>0</v>
      </c>
      <c r="Z45" s="59">
        <f>Свод_RJKAM!AA30</f>
        <v>0</v>
      </c>
      <c r="AA45" s="59">
        <f>Свод_RJKAM!AB30</f>
        <v>0</v>
      </c>
      <c r="AB45" s="59">
        <f>Свод_RJKAM!AC30</f>
        <v>0</v>
      </c>
      <c r="AC45" s="59">
        <f>Свод_RJKAM!AD30</f>
        <v>0</v>
      </c>
      <c r="AD45" s="59">
        <f>Свод_RJKAM!AE30</f>
        <v>0</v>
      </c>
      <c r="AE45" s="59">
        <f>Свод_RJKAM!AF30</f>
        <v>0</v>
      </c>
    </row>
    <row r="46" spans="1:31" ht="15.75" customHeight="1" x14ac:dyDescent="0.25">
      <c r="A46" s="56">
        <f t="shared" si="7"/>
        <v>5</v>
      </c>
      <c r="B46" s="57">
        <v>476735</v>
      </c>
      <c r="C46" s="57" t="str">
        <f>Свод_RJKAM!D38</f>
        <v>Ворновской Э.</v>
      </c>
      <c r="D46" s="58">
        <f>Свод_RJKAM!E38</f>
        <v>3</v>
      </c>
      <c r="E46" s="58">
        <f>Свод_RJKAM!F38</f>
        <v>0</v>
      </c>
      <c r="F46" s="58">
        <f>Свод_RJKAM!G38</f>
        <v>3</v>
      </c>
      <c r="G46" s="59">
        <f>Свод_RJKAM!H38</f>
        <v>0</v>
      </c>
      <c r="H46" s="59">
        <f>Свод_RJKAM!I38</f>
        <v>0</v>
      </c>
      <c r="I46" s="59">
        <f>Свод_RJKAM!J38</f>
        <v>0</v>
      </c>
      <c r="J46" s="59">
        <f>Свод_RJKAM!K38</f>
        <v>0</v>
      </c>
      <c r="K46" s="59">
        <f>Свод_RJKAM!L38</f>
        <v>0</v>
      </c>
      <c r="L46" s="59">
        <f>Свод_RJKAM!M38</f>
        <v>0</v>
      </c>
      <c r="M46" s="59">
        <f>Свод_RJKAM!N38</f>
        <v>0</v>
      </c>
      <c r="N46" s="59">
        <f>Свод_RJKAM!O38</f>
        <v>0</v>
      </c>
      <c r="O46" s="59">
        <f>Свод_RJKAM!P38</f>
        <v>0</v>
      </c>
      <c r="P46" s="59">
        <f>Свод_RJKAM!Q38</f>
        <v>0</v>
      </c>
      <c r="Q46" s="59">
        <f>Свод_RJKAM!R38</f>
        <v>0</v>
      </c>
      <c r="R46" s="59">
        <f>Свод_RJKAM!S38</f>
        <v>0</v>
      </c>
      <c r="S46" s="59">
        <f>Свод_RJKAM!T38</f>
        <v>0</v>
      </c>
      <c r="T46" s="59">
        <f>Свод_RJKAM!U38</f>
        <v>0</v>
      </c>
      <c r="U46" s="59">
        <f>Свод_RJKAM!V38</f>
        <v>0</v>
      </c>
      <c r="V46" s="59">
        <f>Свод_RJKAM!W38</f>
        <v>0</v>
      </c>
      <c r="W46" s="59">
        <f>Свод_RJKAM!X38</f>
        <v>0</v>
      </c>
      <c r="X46" s="59">
        <f>Свод_RJKAM!Y38</f>
        <v>0</v>
      </c>
      <c r="Y46" s="59">
        <f>Свод_RJKAM!Z38</f>
        <v>0</v>
      </c>
      <c r="Z46" s="59">
        <f>Свод_RJKAM!AA38</f>
        <v>0</v>
      </c>
      <c r="AA46" s="59">
        <f>Свод_RJKAM!AB38</f>
        <v>0</v>
      </c>
      <c r="AB46" s="59">
        <f>Свод_RJKAM!AC38</f>
        <v>0</v>
      </c>
      <c r="AC46" s="59">
        <f>Свод_RJKAM!AD38</f>
        <v>0</v>
      </c>
      <c r="AD46" s="59">
        <f>Свод_RJKAM!AE38</f>
        <v>0</v>
      </c>
      <c r="AE46" s="59">
        <f>Свод_RJKAM!AF38</f>
        <v>0</v>
      </c>
    </row>
    <row r="47" spans="1:31" ht="15.75" customHeight="1" x14ac:dyDescent="0.25">
      <c r="A47" s="56">
        <f t="shared" si="7"/>
        <v>6</v>
      </c>
      <c r="B47" s="57">
        <v>476904</v>
      </c>
      <c r="C47" s="57" t="str">
        <f>Свод_RJKAM!D45</f>
        <v>Галкина В.</v>
      </c>
      <c r="D47" s="58">
        <f>Свод_RJKAM!E45</f>
        <v>4</v>
      </c>
      <c r="E47" s="58">
        <f>Свод_RJKAM!F45</f>
        <v>0</v>
      </c>
      <c r="F47" s="58">
        <f>Свод_RJKAM!G45</f>
        <v>4</v>
      </c>
      <c r="G47" s="59">
        <f>Свод_RJKAM!H45</f>
        <v>0</v>
      </c>
      <c r="H47" s="59">
        <f>Свод_RJKAM!I45</f>
        <v>0</v>
      </c>
      <c r="I47" s="59">
        <f>Свод_RJKAM!J45</f>
        <v>0</v>
      </c>
      <c r="J47" s="59">
        <f>Свод_RJKAM!K45</f>
        <v>0</v>
      </c>
      <c r="K47" s="59">
        <f>Свод_RJKAM!L45</f>
        <v>0</v>
      </c>
      <c r="L47" s="59">
        <f>Свод_RJKAM!M45</f>
        <v>0</v>
      </c>
      <c r="M47" s="59">
        <f>Свод_RJKAM!N45</f>
        <v>0</v>
      </c>
      <c r="N47" s="59">
        <f>Свод_RJKAM!O45</f>
        <v>0</v>
      </c>
      <c r="O47" s="59">
        <f>Свод_RJKAM!P45</f>
        <v>0</v>
      </c>
      <c r="P47" s="59">
        <f>Свод_RJKAM!Q45</f>
        <v>0</v>
      </c>
      <c r="Q47" s="59">
        <f>Свод_RJKAM!R45</f>
        <v>0</v>
      </c>
      <c r="R47" s="59">
        <f>Свод_RJKAM!S45</f>
        <v>0</v>
      </c>
      <c r="S47" s="59">
        <f>Свод_RJKAM!T45</f>
        <v>0</v>
      </c>
      <c r="T47" s="59">
        <f>Свод_RJKAM!U45</f>
        <v>0</v>
      </c>
      <c r="U47" s="59">
        <f>Свод_RJKAM!V45</f>
        <v>0</v>
      </c>
      <c r="V47" s="59">
        <f>Свод_RJKAM!W45</f>
        <v>0</v>
      </c>
      <c r="W47" s="59">
        <f>Свод_RJKAM!X45</f>
        <v>0</v>
      </c>
      <c r="X47" s="59">
        <f>Свод_RJKAM!Y45</f>
        <v>0</v>
      </c>
      <c r="Y47" s="59">
        <f>Свод_RJKAM!Z45</f>
        <v>0</v>
      </c>
      <c r="Z47" s="59">
        <f>Свод_RJKAM!AA45</f>
        <v>0</v>
      </c>
      <c r="AA47" s="59">
        <f>Свод_RJKAM!AB45</f>
        <v>0</v>
      </c>
      <c r="AB47" s="59">
        <f>Свод_RJKAM!AC45</f>
        <v>0</v>
      </c>
      <c r="AC47" s="59">
        <f>Свод_RJKAM!AD45</f>
        <v>0</v>
      </c>
      <c r="AD47" s="59">
        <f>Свод_RJKAM!AE45</f>
        <v>0</v>
      </c>
      <c r="AE47" s="59">
        <f>Свод_RJKAM!AF45</f>
        <v>0</v>
      </c>
    </row>
    <row r="48" spans="1:31" ht="15.75" customHeight="1" x14ac:dyDescent="0.25">
      <c r="A48" s="56">
        <f t="shared" si="7"/>
        <v>7</v>
      </c>
      <c r="B48" s="57">
        <v>476900</v>
      </c>
      <c r="C48" s="57" t="str">
        <f>Свод_RJKAM!D52</f>
        <v>Назмутдинов В.</v>
      </c>
      <c r="D48" s="58">
        <f>Свод_RJKAM!E52</f>
        <v>4</v>
      </c>
      <c r="E48" s="58">
        <f>Свод_RJKAM!F52</f>
        <v>0</v>
      </c>
      <c r="F48" s="58">
        <f>Свод_RJKAM!G52</f>
        <v>4</v>
      </c>
      <c r="G48" s="59">
        <f>Свод_RJKAM!H52</f>
        <v>0</v>
      </c>
      <c r="H48" s="59">
        <f>Свод_RJKAM!I52</f>
        <v>0</v>
      </c>
      <c r="I48" s="59">
        <f>Свод_RJKAM!J52</f>
        <v>0</v>
      </c>
      <c r="J48" s="59">
        <f>Свод_RJKAM!K52</f>
        <v>0</v>
      </c>
      <c r="K48" s="59">
        <f>Свод_RJKAM!L52</f>
        <v>0</v>
      </c>
      <c r="L48" s="59">
        <f>Свод_RJKAM!M52</f>
        <v>0</v>
      </c>
      <c r="M48" s="59">
        <f>Свод_RJKAM!N52</f>
        <v>0</v>
      </c>
      <c r="N48" s="59">
        <f>Свод_RJKAM!O52</f>
        <v>0</v>
      </c>
      <c r="O48" s="59">
        <f>Свод_RJKAM!P52</f>
        <v>0</v>
      </c>
      <c r="P48" s="59">
        <f>Свод_RJKAM!Q52</f>
        <v>0</v>
      </c>
      <c r="Q48" s="59">
        <f>Свод_RJKAM!R52</f>
        <v>0</v>
      </c>
      <c r="R48" s="59">
        <f>Свод_RJKAM!S52</f>
        <v>0</v>
      </c>
      <c r="S48" s="59">
        <f>Свод_RJKAM!T52</f>
        <v>0</v>
      </c>
      <c r="T48" s="59">
        <f>Свод_RJKAM!U52</f>
        <v>0</v>
      </c>
      <c r="U48" s="59">
        <f>Свод_RJKAM!V52</f>
        <v>0</v>
      </c>
      <c r="V48" s="59">
        <f>Свод_RJKAM!W52</f>
        <v>0</v>
      </c>
      <c r="W48" s="59">
        <f>Свод_RJKAM!X52</f>
        <v>0</v>
      </c>
      <c r="X48" s="59">
        <f>Свод_RJKAM!Y52</f>
        <v>0</v>
      </c>
      <c r="Y48" s="59">
        <f>Свод_RJKAM!Z52</f>
        <v>0</v>
      </c>
      <c r="Z48" s="59">
        <f>Свод_RJKAM!AA52</f>
        <v>0</v>
      </c>
      <c r="AA48" s="59">
        <f>Свод_RJKAM!AB52</f>
        <v>0</v>
      </c>
      <c r="AB48" s="59">
        <f>Свод_RJKAM!AC52</f>
        <v>0</v>
      </c>
      <c r="AC48" s="59">
        <f>Свод_RJKAM!AD52</f>
        <v>0</v>
      </c>
      <c r="AD48" s="59">
        <f>Свод_RJKAM!AE52</f>
        <v>0</v>
      </c>
      <c r="AE48" s="59">
        <f>Свод_RJKAM!AF52</f>
        <v>0</v>
      </c>
    </row>
    <row r="49" spans="1:31" ht="15.75" customHeight="1" x14ac:dyDescent="0.25">
      <c r="A49" s="56">
        <f t="shared" si="7"/>
        <v>8</v>
      </c>
      <c r="B49" s="57">
        <v>477760</v>
      </c>
      <c r="C49" s="57" t="str">
        <f>Свод_RJKAM!D59</f>
        <v>Иванов В.</v>
      </c>
      <c r="D49" s="58">
        <f>Свод_RJKAM!E59</f>
        <v>6</v>
      </c>
      <c r="E49" s="58">
        <f>Свод_RJKAM!F59</f>
        <v>0</v>
      </c>
      <c r="F49" s="58">
        <f>Свод_RJKAM!G59</f>
        <v>6</v>
      </c>
      <c r="G49" s="59">
        <f>Свод_RJKAM!H59</f>
        <v>0</v>
      </c>
      <c r="H49" s="59">
        <f>Свод_RJKAM!I59</f>
        <v>0</v>
      </c>
      <c r="I49" s="59">
        <f>Свод_RJKAM!J59</f>
        <v>0</v>
      </c>
      <c r="J49" s="59">
        <f>Свод_RJKAM!K59</f>
        <v>0</v>
      </c>
      <c r="K49" s="59">
        <f>Свод_RJKAM!L59</f>
        <v>0</v>
      </c>
      <c r="L49" s="59">
        <f>Свод_RJKAM!M59</f>
        <v>0</v>
      </c>
      <c r="M49" s="59">
        <f>Свод_RJKAM!N59</f>
        <v>0</v>
      </c>
      <c r="N49" s="59">
        <f>Свод_RJKAM!O59</f>
        <v>0</v>
      </c>
      <c r="O49" s="59">
        <f>Свод_RJKAM!P59</f>
        <v>0</v>
      </c>
      <c r="P49" s="59">
        <f>Свод_RJKAM!Q59</f>
        <v>0</v>
      </c>
      <c r="Q49" s="59">
        <f>Свод_RJKAM!R59</f>
        <v>0</v>
      </c>
      <c r="R49" s="59">
        <f>Свод_RJKAM!S59</f>
        <v>0</v>
      </c>
      <c r="S49" s="59">
        <f>Свод_RJKAM!T59</f>
        <v>0</v>
      </c>
      <c r="T49" s="59">
        <f>Свод_RJKAM!U59</f>
        <v>0</v>
      </c>
      <c r="U49" s="59">
        <f>Свод_RJKAM!V59</f>
        <v>0</v>
      </c>
      <c r="V49" s="59">
        <f>Свод_RJKAM!W59</f>
        <v>0</v>
      </c>
      <c r="W49" s="59">
        <f>Свод_RJKAM!X59</f>
        <v>0</v>
      </c>
      <c r="X49" s="59">
        <f>Свод_RJKAM!Y59</f>
        <v>0</v>
      </c>
      <c r="Y49" s="59">
        <f>Свод_RJKAM!Z59</f>
        <v>0</v>
      </c>
      <c r="Z49" s="59">
        <f>Свод_RJKAM!AA59</f>
        <v>0</v>
      </c>
      <c r="AA49" s="59">
        <f>Свод_RJKAM!AB59</f>
        <v>0</v>
      </c>
      <c r="AB49" s="59">
        <f>Свод_RJKAM!AC59</f>
        <v>0</v>
      </c>
      <c r="AC49" s="59">
        <f>Свод_RJKAM!AD59</f>
        <v>0</v>
      </c>
      <c r="AD49" s="59">
        <f>Свод_RJKAM!AE59</f>
        <v>0</v>
      </c>
      <c r="AE49" s="59">
        <f>Свод_RJKAM!AF59</f>
        <v>0</v>
      </c>
    </row>
    <row r="50" spans="1:31" ht="15.75" customHeight="1" x14ac:dyDescent="0.25">
      <c r="A50" s="56">
        <f t="shared" si="7"/>
        <v>9</v>
      </c>
      <c r="B50" s="57">
        <v>477759</v>
      </c>
      <c r="C50" s="57" t="str">
        <f>Свод_RJKAM!D66</f>
        <v>Тептина Д.</v>
      </c>
      <c r="D50" s="58">
        <f>Свод_RJKAM!E66</f>
        <v>2</v>
      </c>
      <c r="E50" s="58">
        <f>Свод_RJKAM!F66</f>
        <v>0</v>
      </c>
      <c r="F50" s="58">
        <f>Свод_RJKAM!G66</f>
        <v>2</v>
      </c>
      <c r="G50" s="59">
        <f>Свод_RJKAM!H66</f>
        <v>0</v>
      </c>
      <c r="H50" s="59">
        <f>Свод_RJKAM!I66</f>
        <v>0</v>
      </c>
      <c r="I50" s="59">
        <f>Свод_RJKAM!J66</f>
        <v>0</v>
      </c>
      <c r="J50" s="59">
        <f>Свод_RJKAM!K66</f>
        <v>0</v>
      </c>
      <c r="K50" s="59">
        <f>Свод_RJKAM!L66</f>
        <v>0</v>
      </c>
      <c r="L50" s="59">
        <f>Свод_RJKAM!M66</f>
        <v>0</v>
      </c>
      <c r="M50" s="59">
        <f>Свод_RJKAM!N66</f>
        <v>0</v>
      </c>
      <c r="N50" s="59">
        <f>Свод_RJKAM!O66</f>
        <v>0</v>
      </c>
      <c r="O50" s="59">
        <f>Свод_RJKAM!P66</f>
        <v>0</v>
      </c>
      <c r="P50" s="59">
        <f>Свод_RJKAM!Q66</f>
        <v>0</v>
      </c>
      <c r="Q50" s="59">
        <f>Свод_RJKAM!R66</f>
        <v>0</v>
      </c>
      <c r="R50" s="59">
        <f>Свод_RJKAM!S66</f>
        <v>0</v>
      </c>
      <c r="S50" s="59">
        <f>Свод_RJKAM!T66</f>
        <v>0</v>
      </c>
      <c r="T50" s="59">
        <f>Свод_RJKAM!U66</f>
        <v>0</v>
      </c>
      <c r="U50" s="59">
        <f>Свод_RJKAM!V66</f>
        <v>0</v>
      </c>
      <c r="V50" s="59">
        <f>Свод_RJKAM!W66</f>
        <v>0</v>
      </c>
      <c r="W50" s="59">
        <f>Свод_RJKAM!X66</f>
        <v>0</v>
      </c>
      <c r="X50" s="59">
        <f>Свод_RJKAM!Y66</f>
        <v>0</v>
      </c>
      <c r="Y50" s="59">
        <f>Свод_RJKAM!Z66</f>
        <v>0</v>
      </c>
      <c r="Z50" s="59">
        <f>Свод_RJKAM!AA66</f>
        <v>0</v>
      </c>
      <c r="AA50" s="59">
        <f>Свод_RJKAM!AB66</f>
        <v>0</v>
      </c>
      <c r="AB50" s="59">
        <f>Свод_RJKAM!AC66</f>
        <v>0</v>
      </c>
      <c r="AC50" s="59">
        <f>Свод_RJKAM!AD66</f>
        <v>0</v>
      </c>
      <c r="AD50" s="59">
        <f>Свод_RJKAM!AE66</f>
        <v>0</v>
      </c>
      <c r="AE50" s="59">
        <f>Свод_RJKAM!AF66</f>
        <v>0</v>
      </c>
    </row>
    <row r="51" spans="1:31" ht="15.75" customHeight="1" x14ac:dyDescent="0.25">
      <c r="A51" s="56">
        <f t="shared" si="7"/>
        <v>10</v>
      </c>
      <c r="B51" s="57">
        <v>476091</v>
      </c>
      <c r="C51" s="57" t="str">
        <f>Свод_RJKAM!D74</f>
        <v>Минхаеров А.</v>
      </c>
      <c r="D51" s="58">
        <f>Свод_RJKAM!E74</f>
        <v>3</v>
      </c>
      <c r="E51" s="58">
        <f>Свод_RJKAM!F74</f>
        <v>0</v>
      </c>
      <c r="F51" s="58">
        <f>Свод_RJKAM!G74</f>
        <v>3</v>
      </c>
      <c r="G51" s="59">
        <f>Свод_RJKAM!H74</f>
        <v>0</v>
      </c>
      <c r="H51" s="59">
        <f>Свод_RJKAM!I74</f>
        <v>0</v>
      </c>
      <c r="I51" s="59">
        <f>Свод_RJKAM!J74</f>
        <v>0</v>
      </c>
      <c r="J51" s="59">
        <f>Свод_RJKAM!K74</f>
        <v>0</v>
      </c>
      <c r="K51" s="59">
        <f>Свод_RJKAM!L74</f>
        <v>0</v>
      </c>
      <c r="L51" s="59">
        <f>Свод_RJKAM!M74</f>
        <v>0</v>
      </c>
      <c r="M51" s="59">
        <f>Свод_RJKAM!N74</f>
        <v>0</v>
      </c>
      <c r="N51" s="59">
        <f>Свод_RJKAM!O74</f>
        <v>0</v>
      </c>
      <c r="O51" s="59">
        <f>Свод_RJKAM!P74</f>
        <v>0</v>
      </c>
      <c r="P51" s="59">
        <f>Свод_RJKAM!Q74</f>
        <v>0</v>
      </c>
      <c r="Q51" s="59">
        <f>Свод_RJKAM!R74</f>
        <v>0</v>
      </c>
      <c r="R51" s="59">
        <f>Свод_RJKAM!S74</f>
        <v>0</v>
      </c>
      <c r="S51" s="59">
        <f>Свод_RJKAM!T74</f>
        <v>0</v>
      </c>
      <c r="T51" s="59">
        <f>Свод_RJKAM!U74</f>
        <v>0</v>
      </c>
      <c r="U51" s="59">
        <f>Свод_RJKAM!V74</f>
        <v>0</v>
      </c>
      <c r="V51" s="59">
        <f>Свод_RJKAM!W74</f>
        <v>0</v>
      </c>
      <c r="W51" s="59">
        <f>Свод_RJKAM!X74</f>
        <v>0</v>
      </c>
      <c r="X51" s="59">
        <f>Свод_RJKAM!Y74</f>
        <v>0</v>
      </c>
      <c r="Y51" s="59">
        <f>Свод_RJKAM!Z74</f>
        <v>0</v>
      </c>
      <c r="Z51" s="59">
        <f>Свод_RJKAM!AA74</f>
        <v>0</v>
      </c>
      <c r="AA51" s="59">
        <f>Свод_RJKAM!AB74</f>
        <v>0</v>
      </c>
      <c r="AB51" s="59">
        <f>Свод_RJKAM!AC74</f>
        <v>0</v>
      </c>
      <c r="AC51" s="59">
        <f>Свод_RJKAM!AD74</f>
        <v>0</v>
      </c>
      <c r="AD51" s="59">
        <f>Свод_RJKAM!AE74</f>
        <v>0</v>
      </c>
      <c r="AE51" s="59">
        <f>Свод_RJKAM!AF74</f>
        <v>0</v>
      </c>
    </row>
    <row r="52" spans="1:31" ht="15.75" customHeight="1" x14ac:dyDescent="0.25">
      <c r="A52" s="56">
        <f t="shared" si="7"/>
        <v>11</v>
      </c>
      <c r="B52" s="57">
        <v>478485</v>
      </c>
      <c r="C52" s="57" t="str">
        <f>Свод_RJKAM!D79</f>
        <v>Матвиец И.</v>
      </c>
      <c r="D52" s="58">
        <f>Свод_RJKAM!E79</f>
        <v>1</v>
      </c>
      <c r="E52" s="58">
        <f>Свод_RJKAM!F79</f>
        <v>0</v>
      </c>
      <c r="F52" s="58">
        <f>Свод_RJKAM!G79</f>
        <v>1</v>
      </c>
      <c r="G52" s="59">
        <f>Свод_RJKAM!H79</f>
        <v>0</v>
      </c>
      <c r="H52" s="59">
        <f>Свод_RJKAM!I79</f>
        <v>0</v>
      </c>
      <c r="I52" s="59">
        <f>Свод_RJKAM!J79</f>
        <v>0</v>
      </c>
      <c r="J52" s="59">
        <f>Свод_RJKAM!K79</f>
        <v>0</v>
      </c>
      <c r="K52" s="59">
        <f>Свод_RJKAM!L79</f>
        <v>0</v>
      </c>
      <c r="L52" s="59">
        <f>Свод_RJKAM!M79</f>
        <v>0</v>
      </c>
      <c r="M52" s="59">
        <f>Свод_RJKAM!N79</f>
        <v>0</v>
      </c>
      <c r="N52" s="59">
        <f>Свод_RJKAM!O79</f>
        <v>0</v>
      </c>
      <c r="O52" s="59">
        <f>Свод_RJKAM!P79</f>
        <v>0</v>
      </c>
      <c r="P52" s="59">
        <f>Свод_RJKAM!Q79</f>
        <v>0</v>
      </c>
      <c r="Q52" s="59">
        <f>Свод_RJKAM!R79</f>
        <v>0</v>
      </c>
      <c r="R52" s="59">
        <f>Свод_RJKAM!S79</f>
        <v>0</v>
      </c>
      <c r="S52" s="59">
        <f>Свод_RJKAM!T79</f>
        <v>0</v>
      </c>
      <c r="T52" s="59">
        <f>Свод_RJKAM!U79</f>
        <v>0</v>
      </c>
      <c r="U52" s="59">
        <f>Свод_RJKAM!V79</f>
        <v>0</v>
      </c>
      <c r="V52" s="59">
        <f>Свод_RJKAM!W79</f>
        <v>0</v>
      </c>
      <c r="W52" s="59">
        <f>Свод_RJKAM!X79</f>
        <v>0</v>
      </c>
      <c r="X52" s="59">
        <f>Свод_RJKAM!Y79</f>
        <v>0</v>
      </c>
      <c r="Y52" s="59">
        <f>Свод_RJKAM!Z79</f>
        <v>0</v>
      </c>
      <c r="Z52" s="59">
        <f>Свод_RJKAM!AA79</f>
        <v>0</v>
      </c>
      <c r="AA52" s="59">
        <f>Свод_RJKAM!AB79</f>
        <v>0</v>
      </c>
      <c r="AB52" s="59">
        <f>Свод_RJKAM!AC79</f>
        <v>0</v>
      </c>
      <c r="AC52" s="59">
        <f>Свод_RJKAM!AD79</f>
        <v>0</v>
      </c>
      <c r="AD52" s="59">
        <f>Свод_RJKAM!AE79</f>
        <v>0</v>
      </c>
      <c r="AE52" s="59">
        <f>Свод_RJKAM!AF79</f>
        <v>0</v>
      </c>
    </row>
    <row r="53" spans="1:31" ht="15.75" customHeight="1" x14ac:dyDescent="0.25">
      <c r="A53" s="56">
        <f t="shared" si="7"/>
        <v>12</v>
      </c>
      <c r="B53" s="57">
        <v>478232</v>
      </c>
      <c r="C53" s="57" t="str">
        <f>Свод_RJKAM!D86</f>
        <v>Самылин М.</v>
      </c>
      <c r="D53" s="58">
        <f>Свод_RJKAM!E86</f>
        <v>3</v>
      </c>
      <c r="E53" s="58">
        <f>Свод_RJKAM!F86</f>
        <v>0</v>
      </c>
      <c r="F53" s="58">
        <f>Свод_RJKAM!G86</f>
        <v>3</v>
      </c>
      <c r="G53" s="59">
        <f>Свод_RJKAM!H86</f>
        <v>0</v>
      </c>
      <c r="H53" s="59">
        <f>Свод_RJKAM!I86</f>
        <v>0</v>
      </c>
      <c r="I53" s="59">
        <f>Свод_RJKAM!J86</f>
        <v>0</v>
      </c>
      <c r="J53" s="59">
        <f>Свод_RJKAM!K86</f>
        <v>0</v>
      </c>
      <c r="K53" s="59">
        <f>Свод_RJKAM!L86</f>
        <v>0</v>
      </c>
      <c r="L53" s="59">
        <f>Свод_RJKAM!M86</f>
        <v>0</v>
      </c>
      <c r="M53" s="59">
        <f>Свод_RJKAM!N86</f>
        <v>0</v>
      </c>
      <c r="N53" s="59">
        <f>Свод_RJKAM!O86</f>
        <v>0</v>
      </c>
      <c r="O53" s="59">
        <f>Свод_RJKAM!P86</f>
        <v>0</v>
      </c>
      <c r="P53" s="59">
        <f>Свод_RJKAM!Q86</f>
        <v>0</v>
      </c>
      <c r="Q53" s="59">
        <f>Свод_RJKAM!R86</f>
        <v>0</v>
      </c>
      <c r="R53" s="59">
        <f>Свод_RJKAM!S86</f>
        <v>0</v>
      </c>
      <c r="S53" s="59">
        <f>Свод_RJKAM!T86</f>
        <v>0</v>
      </c>
      <c r="T53" s="59">
        <f>Свод_RJKAM!U86</f>
        <v>0</v>
      </c>
      <c r="U53" s="59">
        <f>Свод_RJKAM!V86</f>
        <v>0</v>
      </c>
      <c r="V53" s="59">
        <f>Свод_RJKAM!W86</f>
        <v>0</v>
      </c>
      <c r="W53" s="59">
        <f>Свод_RJKAM!X86</f>
        <v>0</v>
      </c>
      <c r="X53" s="59">
        <f>Свод_RJKAM!Y86</f>
        <v>0</v>
      </c>
      <c r="Y53" s="59">
        <f>Свод_RJKAM!Z86</f>
        <v>0</v>
      </c>
      <c r="Z53" s="59">
        <f>Свод_RJKAM!AA86</f>
        <v>0</v>
      </c>
      <c r="AA53" s="59">
        <f>Свод_RJKAM!AB86</f>
        <v>0</v>
      </c>
      <c r="AB53" s="59">
        <f>Свод_RJKAM!AC86</f>
        <v>0</v>
      </c>
      <c r="AC53" s="59">
        <f>Свод_RJKAM!AD86</f>
        <v>0</v>
      </c>
      <c r="AD53" s="59">
        <f>Свод_RJKAM!AE86</f>
        <v>0</v>
      </c>
      <c r="AE53" s="59">
        <f>Свод_RJKAM!AF86</f>
        <v>0</v>
      </c>
    </row>
    <row r="54" spans="1:31" ht="15.75" customHeight="1" x14ac:dyDescent="0.25">
      <c r="A54" s="63">
        <v>5</v>
      </c>
      <c r="B54" s="63">
        <v>2674</v>
      </c>
      <c r="C54" s="63" t="s">
        <v>85</v>
      </c>
      <c r="D54" s="64">
        <f>SUM(D55:D64)</f>
        <v>34</v>
      </c>
      <c r="E54" s="64">
        <f>SUM(E55:E64)</f>
        <v>0</v>
      </c>
      <c r="F54" s="64">
        <f>SUM(F55:F64)</f>
        <v>34</v>
      </c>
      <c r="G54" s="65">
        <f>AVERAGE(G55:G64)</f>
        <v>0</v>
      </c>
      <c r="H54" s="65">
        <f t="shared" ref="H54:AE54" si="8">AVERAGE(H55:H64)</f>
        <v>0</v>
      </c>
      <c r="I54" s="65">
        <f t="shared" si="8"/>
        <v>0</v>
      </c>
      <c r="J54" s="65">
        <f t="shared" si="8"/>
        <v>0</v>
      </c>
      <c r="K54" s="65">
        <f t="shared" si="8"/>
        <v>0</v>
      </c>
      <c r="L54" s="65">
        <f t="shared" si="8"/>
        <v>0</v>
      </c>
      <c r="M54" s="65">
        <f t="shared" si="8"/>
        <v>0</v>
      </c>
      <c r="N54" s="65">
        <f t="shared" si="8"/>
        <v>0</v>
      </c>
      <c r="O54" s="65">
        <f t="shared" si="8"/>
        <v>0</v>
      </c>
      <c r="P54" s="65">
        <f t="shared" si="8"/>
        <v>0</v>
      </c>
      <c r="Q54" s="65">
        <f t="shared" si="8"/>
        <v>0</v>
      </c>
      <c r="R54" s="65">
        <f t="shared" si="8"/>
        <v>0</v>
      </c>
      <c r="S54" s="65">
        <f t="shared" si="8"/>
        <v>0</v>
      </c>
      <c r="T54" s="65">
        <f t="shared" si="8"/>
        <v>0</v>
      </c>
      <c r="U54" s="65">
        <f t="shared" si="8"/>
        <v>0</v>
      </c>
      <c r="V54" s="65">
        <f t="shared" si="8"/>
        <v>0</v>
      </c>
      <c r="W54" s="65">
        <f t="shared" si="8"/>
        <v>0</v>
      </c>
      <c r="X54" s="65">
        <f t="shared" si="8"/>
        <v>0</v>
      </c>
      <c r="Y54" s="65">
        <f t="shared" si="8"/>
        <v>0</v>
      </c>
      <c r="Z54" s="65">
        <f t="shared" si="8"/>
        <v>0</v>
      </c>
      <c r="AA54" s="65">
        <f t="shared" si="8"/>
        <v>0</v>
      </c>
      <c r="AB54" s="65">
        <f t="shared" si="8"/>
        <v>0</v>
      </c>
      <c r="AC54" s="65">
        <f t="shared" si="8"/>
        <v>0</v>
      </c>
      <c r="AD54" s="65">
        <f t="shared" si="8"/>
        <v>0</v>
      </c>
      <c r="AE54" s="65">
        <f t="shared" si="8"/>
        <v>0</v>
      </c>
    </row>
    <row r="55" spans="1:31" ht="15.75" customHeight="1" x14ac:dyDescent="0.25">
      <c r="A55" s="51">
        <v>1</v>
      </c>
      <c r="B55" s="52">
        <v>477431</v>
      </c>
      <c r="C55" s="52" t="str">
        <f>Свод_RJKAM!D9</f>
        <v>Беспятов В.</v>
      </c>
      <c r="D55" s="53">
        <f>Свод_RJKAM!E9</f>
        <v>2</v>
      </c>
      <c r="E55" s="53">
        <f>Свод_RJKAM!F9</f>
        <v>0</v>
      </c>
      <c r="F55" s="53">
        <f>Свод_RJKAM!G9</f>
        <v>2</v>
      </c>
      <c r="G55" s="54">
        <f>Свод_RJKAM!H9</f>
        <v>0</v>
      </c>
      <c r="H55" s="54">
        <f>Свод_RJKAM!I9</f>
        <v>0</v>
      </c>
      <c r="I55" s="54">
        <f>Свод_RJKAM!J9</f>
        <v>0</v>
      </c>
      <c r="J55" s="54">
        <f>Свод_RJKAM!K9</f>
        <v>0</v>
      </c>
      <c r="K55" s="54">
        <f>Свод_RJKAM!L9</f>
        <v>0</v>
      </c>
      <c r="L55" s="54">
        <f>Свод_RJKAM!M9</f>
        <v>0</v>
      </c>
      <c r="M55" s="54">
        <f>Свод_RJKAM!N9</f>
        <v>0</v>
      </c>
      <c r="N55" s="54">
        <f>Свод_RJKAM!O9</f>
        <v>0</v>
      </c>
      <c r="O55" s="54">
        <f>Свод_RJKAM!P9</f>
        <v>0</v>
      </c>
      <c r="P55" s="54">
        <f>Свод_RJKAM!Q9</f>
        <v>0</v>
      </c>
      <c r="Q55" s="54">
        <f>Свод_RJKAM!R9</f>
        <v>0</v>
      </c>
      <c r="R55" s="54">
        <f>Свод_RJKAM!S9</f>
        <v>0</v>
      </c>
      <c r="S55" s="54">
        <f>Свод_RJKAM!T9</f>
        <v>0</v>
      </c>
      <c r="T55" s="54">
        <f>Свод_RJKAM!U9</f>
        <v>0</v>
      </c>
      <c r="U55" s="54">
        <f>Свод_RJKAM!V9</f>
        <v>0</v>
      </c>
      <c r="V55" s="54">
        <f>Свод_RJKAM!W9</f>
        <v>0</v>
      </c>
      <c r="W55" s="54">
        <f>Свод_RJKAM!X9</f>
        <v>0</v>
      </c>
      <c r="X55" s="54">
        <f>Свод_RJKAM!Y9</f>
        <v>0</v>
      </c>
      <c r="Y55" s="54">
        <f>Свод_RJKAM!Z9</f>
        <v>0</v>
      </c>
      <c r="Z55" s="54">
        <f>Свод_RJKAM!AA9</f>
        <v>0</v>
      </c>
      <c r="AA55" s="54">
        <f>Свод_RJKAM!AB9</f>
        <v>0</v>
      </c>
      <c r="AB55" s="54">
        <f>Свод_RJKAM!AC9</f>
        <v>0</v>
      </c>
      <c r="AC55" s="54">
        <f>Свод_RJKAM!AD9</f>
        <v>0</v>
      </c>
      <c r="AD55" s="54">
        <f>Свод_RJKAM!AE9</f>
        <v>0</v>
      </c>
      <c r="AE55" s="54">
        <f>Свод_RJKAM!AF9</f>
        <v>0</v>
      </c>
    </row>
    <row r="56" spans="1:31" ht="15.75" customHeight="1" x14ac:dyDescent="0.25">
      <c r="A56" s="56">
        <f>A55+1</f>
        <v>2</v>
      </c>
      <c r="B56" s="57">
        <v>478488</v>
      </c>
      <c r="C56" s="57" t="str">
        <f>Свод_RJKAM!D15</f>
        <v>Белова Н.</v>
      </c>
      <c r="D56" s="58">
        <f>Свод_RJKAM!E15</f>
        <v>1</v>
      </c>
      <c r="E56" s="58">
        <f>Свод_RJKAM!F15</f>
        <v>0</v>
      </c>
      <c r="F56" s="58">
        <f>Свод_RJKAM!G15</f>
        <v>1</v>
      </c>
      <c r="G56" s="59">
        <f>Свод_RJKAM!H15</f>
        <v>0</v>
      </c>
      <c r="H56" s="59">
        <f>Свод_RJKAM!I15</f>
        <v>0</v>
      </c>
      <c r="I56" s="59">
        <f>Свод_RJKAM!J15</f>
        <v>0</v>
      </c>
      <c r="J56" s="59">
        <f>Свод_RJKAM!K15</f>
        <v>0</v>
      </c>
      <c r="K56" s="59">
        <f>Свод_RJKAM!L15</f>
        <v>0</v>
      </c>
      <c r="L56" s="59">
        <f>Свод_RJKAM!M15</f>
        <v>0</v>
      </c>
      <c r="M56" s="59">
        <f>Свод_RJKAM!N15</f>
        <v>0</v>
      </c>
      <c r="N56" s="59">
        <f>Свод_RJKAM!O15</f>
        <v>0</v>
      </c>
      <c r="O56" s="59">
        <f>Свод_RJKAM!P15</f>
        <v>0</v>
      </c>
      <c r="P56" s="59">
        <f>Свод_RJKAM!Q15</f>
        <v>0</v>
      </c>
      <c r="Q56" s="59">
        <f>Свод_RJKAM!R15</f>
        <v>0</v>
      </c>
      <c r="R56" s="59">
        <f>Свод_RJKAM!S15</f>
        <v>0</v>
      </c>
      <c r="S56" s="59">
        <f>Свод_RJKAM!T15</f>
        <v>0</v>
      </c>
      <c r="T56" s="59">
        <f>Свод_RJKAM!U15</f>
        <v>0</v>
      </c>
      <c r="U56" s="59">
        <f>Свод_RJKAM!V15</f>
        <v>0</v>
      </c>
      <c r="V56" s="59">
        <f>Свод_RJKAM!W15</f>
        <v>0</v>
      </c>
      <c r="W56" s="59">
        <f>Свод_RJKAM!X15</f>
        <v>0</v>
      </c>
      <c r="X56" s="59">
        <f>Свод_RJKAM!Y15</f>
        <v>0</v>
      </c>
      <c r="Y56" s="59">
        <f>Свод_RJKAM!Z15</f>
        <v>0</v>
      </c>
      <c r="Z56" s="59">
        <f>Свод_RJKAM!AA15</f>
        <v>0</v>
      </c>
      <c r="AA56" s="59">
        <f>Свод_RJKAM!AB15</f>
        <v>0</v>
      </c>
      <c r="AB56" s="59">
        <f>Свод_RJKAM!AC15</f>
        <v>0</v>
      </c>
      <c r="AC56" s="59">
        <f>Свод_RJKAM!AD15</f>
        <v>0</v>
      </c>
      <c r="AD56" s="59">
        <f>Свод_RJKAM!AE15</f>
        <v>0</v>
      </c>
      <c r="AE56" s="59">
        <f>Свод_RJKAM!AF15</f>
        <v>0</v>
      </c>
    </row>
    <row r="57" spans="1:31" ht="15.75" customHeight="1" x14ac:dyDescent="0.25">
      <c r="A57" s="56">
        <f t="shared" ref="A57:A64" si="9">A56+1</f>
        <v>3</v>
      </c>
      <c r="B57" s="57">
        <v>476901</v>
      </c>
      <c r="C57" s="57" t="str">
        <f>Свод_RJKAM!D31</f>
        <v>Штанг Е.</v>
      </c>
      <c r="D57" s="58">
        <f>Свод_RJKAM!E31</f>
        <v>9</v>
      </c>
      <c r="E57" s="58">
        <f>Свод_RJKAM!F31</f>
        <v>0</v>
      </c>
      <c r="F57" s="58">
        <f>Свод_RJKAM!G31</f>
        <v>9</v>
      </c>
      <c r="G57" s="59">
        <f>Свод_RJKAM!H31</f>
        <v>0</v>
      </c>
      <c r="H57" s="59">
        <f>Свод_RJKAM!I31</f>
        <v>0</v>
      </c>
      <c r="I57" s="59">
        <f>Свод_RJKAM!J31</f>
        <v>0</v>
      </c>
      <c r="J57" s="59">
        <f>Свод_RJKAM!K31</f>
        <v>0</v>
      </c>
      <c r="K57" s="59">
        <f>Свод_RJKAM!L31</f>
        <v>0</v>
      </c>
      <c r="L57" s="59">
        <f>Свод_RJKAM!M31</f>
        <v>0</v>
      </c>
      <c r="M57" s="59">
        <f>Свод_RJKAM!N31</f>
        <v>0</v>
      </c>
      <c r="N57" s="59">
        <f>Свод_RJKAM!O31</f>
        <v>0</v>
      </c>
      <c r="O57" s="59">
        <f>Свод_RJKAM!P31</f>
        <v>0</v>
      </c>
      <c r="P57" s="59">
        <f>Свод_RJKAM!Q31</f>
        <v>0</v>
      </c>
      <c r="Q57" s="59">
        <f>Свод_RJKAM!R31</f>
        <v>0</v>
      </c>
      <c r="R57" s="59">
        <f>Свод_RJKAM!S31</f>
        <v>0</v>
      </c>
      <c r="S57" s="59">
        <f>Свод_RJKAM!T31</f>
        <v>0</v>
      </c>
      <c r="T57" s="59">
        <f>Свод_RJKAM!U31</f>
        <v>0</v>
      </c>
      <c r="U57" s="59">
        <f>Свод_RJKAM!V31</f>
        <v>0</v>
      </c>
      <c r="V57" s="59">
        <f>Свод_RJKAM!W31</f>
        <v>0</v>
      </c>
      <c r="W57" s="59">
        <f>Свод_RJKAM!X31</f>
        <v>0</v>
      </c>
      <c r="X57" s="59">
        <f>Свод_RJKAM!Y31</f>
        <v>0</v>
      </c>
      <c r="Y57" s="59">
        <f>Свод_RJKAM!Z31</f>
        <v>0</v>
      </c>
      <c r="Z57" s="59">
        <f>Свод_RJKAM!AA31</f>
        <v>0</v>
      </c>
      <c r="AA57" s="59">
        <f>Свод_RJKAM!AB31</f>
        <v>0</v>
      </c>
      <c r="AB57" s="59">
        <f>Свод_RJKAM!AC31</f>
        <v>0</v>
      </c>
      <c r="AC57" s="59">
        <f>Свод_RJKAM!AD31</f>
        <v>0</v>
      </c>
      <c r="AD57" s="59">
        <f>Свод_RJKAM!AE31</f>
        <v>0</v>
      </c>
      <c r="AE57" s="59">
        <f>Свод_RJKAM!AF31</f>
        <v>0</v>
      </c>
    </row>
    <row r="58" spans="1:31" ht="15.75" customHeight="1" x14ac:dyDescent="0.25">
      <c r="A58" s="56">
        <f t="shared" si="9"/>
        <v>4</v>
      </c>
      <c r="B58" s="57">
        <v>476735</v>
      </c>
      <c r="C58" s="57" t="str">
        <f>Свод_RJKAM!D40</f>
        <v>Ворновской Э.</v>
      </c>
      <c r="D58" s="58">
        <f>Свод_RJKAM!E40</f>
        <v>2</v>
      </c>
      <c r="E58" s="58">
        <f>Свод_RJKAM!F40</f>
        <v>0</v>
      </c>
      <c r="F58" s="58">
        <f>Свод_RJKAM!G40</f>
        <v>2</v>
      </c>
      <c r="G58" s="59">
        <f>Свод_RJKAM!H40</f>
        <v>0</v>
      </c>
      <c r="H58" s="59">
        <f>Свод_RJKAM!I40</f>
        <v>0</v>
      </c>
      <c r="I58" s="59">
        <f>Свод_RJKAM!J40</f>
        <v>0</v>
      </c>
      <c r="J58" s="59">
        <f>Свод_RJKAM!K40</f>
        <v>0</v>
      </c>
      <c r="K58" s="59">
        <f>Свод_RJKAM!L40</f>
        <v>0</v>
      </c>
      <c r="L58" s="59">
        <f>Свод_RJKAM!M40</f>
        <v>0</v>
      </c>
      <c r="M58" s="59">
        <f>Свод_RJKAM!N40</f>
        <v>0</v>
      </c>
      <c r="N58" s="59">
        <f>Свод_RJKAM!O40</f>
        <v>0</v>
      </c>
      <c r="O58" s="59">
        <f>Свод_RJKAM!P40</f>
        <v>0</v>
      </c>
      <c r="P58" s="59">
        <f>Свод_RJKAM!Q40</f>
        <v>0</v>
      </c>
      <c r="Q58" s="59">
        <f>Свод_RJKAM!R40</f>
        <v>0</v>
      </c>
      <c r="R58" s="59">
        <f>Свод_RJKAM!S40</f>
        <v>0</v>
      </c>
      <c r="S58" s="59">
        <f>Свод_RJKAM!T40</f>
        <v>0</v>
      </c>
      <c r="T58" s="59">
        <f>Свод_RJKAM!U40</f>
        <v>0</v>
      </c>
      <c r="U58" s="59">
        <f>Свод_RJKAM!V40</f>
        <v>0</v>
      </c>
      <c r="V58" s="59">
        <f>Свод_RJKAM!W40</f>
        <v>0</v>
      </c>
      <c r="W58" s="59">
        <f>Свод_RJKAM!X40</f>
        <v>0</v>
      </c>
      <c r="X58" s="59">
        <f>Свод_RJKAM!Y40</f>
        <v>0</v>
      </c>
      <c r="Y58" s="59">
        <f>Свод_RJKAM!Z40</f>
        <v>0</v>
      </c>
      <c r="Z58" s="59">
        <f>Свод_RJKAM!AA40</f>
        <v>0</v>
      </c>
      <c r="AA58" s="59">
        <f>Свод_RJKAM!AB40</f>
        <v>0</v>
      </c>
      <c r="AB58" s="59">
        <f>Свод_RJKAM!AC40</f>
        <v>0</v>
      </c>
      <c r="AC58" s="59">
        <f>Свод_RJKAM!AD40</f>
        <v>0</v>
      </c>
      <c r="AD58" s="59">
        <f>Свод_RJKAM!AE40</f>
        <v>0</v>
      </c>
      <c r="AE58" s="59">
        <f>Свод_RJKAM!AF40</f>
        <v>0</v>
      </c>
    </row>
    <row r="59" spans="1:31" ht="15.75" customHeight="1" x14ac:dyDescent="0.25">
      <c r="A59" s="56">
        <f t="shared" si="9"/>
        <v>5</v>
      </c>
      <c r="B59" s="57">
        <v>476904</v>
      </c>
      <c r="C59" s="57" t="str">
        <f>Свод_RJKAM!D47</f>
        <v>Галкина В.</v>
      </c>
      <c r="D59" s="58">
        <f>Свод_RJKAM!E47</f>
        <v>5</v>
      </c>
      <c r="E59" s="58">
        <f>Свод_RJKAM!F47</f>
        <v>0</v>
      </c>
      <c r="F59" s="58">
        <f>Свод_RJKAM!G47</f>
        <v>5</v>
      </c>
      <c r="G59" s="59">
        <f>Свод_RJKAM!H47</f>
        <v>0</v>
      </c>
      <c r="H59" s="59">
        <f>Свод_RJKAM!I47</f>
        <v>0</v>
      </c>
      <c r="I59" s="59">
        <f>Свод_RJKAM!J47</f>
        <v>0</v>
      </c>
      <c r="J59" s="59">
        <f>Свод_RJKAM!K47</f>
        <v>0</v>
      </c>
      <c r="K59" s="59">
        <f>Свод_RJKAM!L47</f>
        <v>0</v>
      </c>
      <c r="L59" s="59">
        <f>Свод_RJKAM!M47</f>
        <v>0</v>
      </c>
      <c r="M59" s="59">
        <f>Свод_RJKAM!N47</f>
        <v>0</v>
      </c>
      <c r="N59" s="59">
        <f>Свод_RJKAM!O47</f>
        <v>0</v>
      </c>
      <c r="O59" s="59">
        <f>Свод_RJKAM!P47</f>
        <v>0</v>
      </c>
      <c r="P59" s="59">
        <f>Свод_RJKAM!Q47</f>
        <v>0</v>
      </c>
      <c r="Q59" s="59">
        <f>Свод_RJKAM!R47</f>
        <v>0</v>
      </c>
      <c r="R59" s="59">
        <f>Свод_RJKAM!S47</f>
        <v>0</v>
      </c>
      <c r="S59" s="59">
        <f>Свод_RJKAM!T47</f>
        <v>0</v>
      </c>
      <c r="T59" s="59">
        <f>Свод_RJKAM!U47</f>
        <v>0</v>
      </c>
      <c r="U59" s="59">
        <f>Свод_RJKAM!V47</f>
        <v>0</v>
      </c>
      <c r="V59" s="59">
        <f>Свод_RJKAM!W47</f>
        <v>0</v>
      </c>
      <c r="W59" s="59">
        <f>Свод_RJKAM!X47</f>
        <v>0</v>
      </c>
      <c r="X59" s="59">
        <f>Свод_RJKAM!Y47</f>
        <v>0</v>
      </c>
      <c r="Y59" s="59">
        <f>Свод_RJKAM!Z47</f>
        <v>0</v>
      </c>
      <c r="Z59" s="59">
        <f>Свод_RJKAM!AA47</f>
        <v>0</v>
      </c>
      <c r="AA59" s="59">
        <f>Свод_RJKAM!AB47</f>
        <v>0</v>
      </c>
      <c r="AB59" s="59">
        <f>Свод_RJKAM!AC47</f>
        <v>0</v>
      </c>
      <c r="AC59" s="59">
        <f>Свод_RJKAM!AD47</f>
        <v>0</v>
      </c>
      <c r="AD59" s="59">
        <f>Свод_RJKAM!AE47</f>
        <v>0</v>
      </c>
      <c r="AE59" s="59">
        <f>Свод_RJKAM!AF47</f>
        <v>0</v>
      </c>
    </row>
    <row r="60" spans="1:31" ht="15.75" customHeight="1" x14ac:dyDescent="0.25">
      <c r="A60" s="56">
        <f t="shared" si="9"/>
        <v>6</v>
      </c>
      <c r="B60" s="57">
        <v>476900</v>
      </c>
      <c r="C60" s="57" t="str">
        <f>Свод_RJKAM!D54</f>
        <v>Назмутдинов В.</v>
      </c>
      <c r="D60" s="58">
        <f>Свод_RJKAM!E54</f>
        <v>2</v>
      </c>
      <c r="E60" s="58">
        <f>Свод_RJKAM!F54</f>
        <v>0</v>
      </c>
      <c r="F60" s="58">
        <f>Свод_RJKAM!G54</f>
        <v>2</v>
      </c>
      <c r="G60" s="59">
        <f>Свод_RJKAM!H54</f>
        <v>0</v>
      </c>
      <c r="H60" s="59">
        <f>Свод_RJKAM!I54</f>
        <v>0</v>
      </c>
      <c r="I60" s="59">
        <f>Свод_RJKAM!J54</f>
        <v>0</v>
      </c>
      <c r="J60" s="59">
        <f>Свод_RJKAM!K54</f>
        <v>0</v>
      </c>
      <c r="K60" s="59">
        <f>Свод_RJKAM!L54</f>
        <v>0</v>
      </c>
      <c r="L60" s="59">
        <f>Свод_RJKAM!M54</f>
        <v>0</v>
      </c>
      <c r="M60" s="59">
        <f>Свод_RJKAM!N54</f>
        <v>0</v>
      </c>
      <c r="N60" s="59">
        <f>Свод_RJKAM!O54</f>
        <v>0</v>
      </c>
      <c r="O60" s="59">
        <f>Свод_RJKAM!P54</f>
        <v>0</v>
      </c>
      <c r="P60" s="59">
        <f>Свод_RJKAM!Q54</f>
        <v>0</v>
      </c>
      <c r="Q60" s="59">
        <f>Свод_RJKAM!R54</f>
        <v>0</v>
      </c>
      <c r="R60" s="59">
        <f>Свод_RJKAM!S54</f>
        <v>0</v>
      </c>
      <c r="S60" s="59">
        <f>Свод_RJKAM!T54</f>
        <v>0</v>
      </c>
      <c r="T60" s="59">
        <f>Свод_RJKAM!U54</f>
        <v>0</v>
      </c>
      <c r="U60" s="59">
        <f>Свод_RJKAM!V54</f>
        <v>0</v>
      </c>
      <c r="V60" s="59">
        <f>Свод_RJKAM!W54</f>
        <v>0</v>
      </c>
      <c r="W60" s="59">
        <f>Свод_RJKAM!X54</f>
        <v>0</v>
      </c>
      <c r="X60" s="59">
        <f>Свод_RJKAM!Y54</f>
        <v>0</v>
      </c>
      <c r="Y60" s="59">
        <f>Свод_RJKAM!Z54</f>
        <v>0</v>
      </c>
      <c r="Z60" s="59">
        <f>Свод_RJKAM!AA54</f>
        <v>0</v>
      </c>
      <c r="AA60" s="59">
        <f>Свод_RJKAM!AB54</f>
        <v>0</v>
      </c>
      <c r="AB60" s="59">
        <f>Свод_RJKAM!AC54</f>
        <v>0</v>
      </c>
      <c r="AC60" s="59">
        <f>Свод_RJKAM!AD54</f>
        <v>0</v>
      </c>
      <c r="AD60" s="59">
        <f>Свод_RJKAM!AE54</f>
        <v>0</v>
      </c>
      <c r="AE60" s="59">
        <f>Свод_RJKAM!AF54</f>
        <v>0</v>
      </c>
    </row>
    <row r="61" spans="1:31" ht="15.75" customHeight="1" x14ac:dyDescent="0.25">
      <c r="A61" s="56">
        <f t="shared" si="9"/>
        <v>7</v>
      </c>
      <c r="B61" s="57">
        <v>477760</v>
      </c>
      <c r="C61" s="57" t="str">
        <f>Свод_RJKAM!D61</f>
        <v>Иванов В.</v>
      </c>
      <c r="D61" s="58">
        <f>Свод_RJKAM!E61</f>
        <v>4</v>
      </c>
      <c r="E61" s="58">
        <f>Свод_RJKAM!F61</f>
        <v>0</v>
      </c>
      <c r="F61" s="58">
        <f>Свод_RJKAM!G61</f>
        <v>4</v>
      </c>
      <c r="G61" s="59">
        <f>Свод_RJKAM!H61</f>
        <v>0</v>
      </c>
      <c r="H61" s="59">
        <f>Свод_RJKAM!I61</f>
        <v>0</v>
      </c>
      <c r="I61" s="59">
        <f>Свод_RJKAM!J61</f>
        <v>0</v>
      </c>
      <c r="J61" s="59">
        <f>Свод_RJKAM!K61</f>
        <v>0</v>
      </c>
      <c r="K61" s="59">
        <f>Свод_RJKAM!L61</f>
        <v>0</v>
      </c>
      <c r="L61" s="59">
        <f>Свод_RJKAM!M61</f>
        <v>0</v>
      </c>
      <c r="M61" s="59">
        <f>Свод_RJKAM!N61</f>
        <v>0</v>
      </c>
      <c r="N61" s="59">
        <f>Свод_RJKAM!O61</f>
        <v>0</v>
      </c>
      <c r="O61" s="59">
        <f>Свод_RJKAM!P61</f>
        <v>0</v>
      </c>
      <c r="P61" s="59">
        <f>Свод_RJKAM!Q61</f>
        <v>0</v>
      </c>
      <c r="Q61" s="59">
        <f>Свод_RJKAM!R61</f>
        <v>0</v>
      </c>
      <c r="R61" s="59">
        <f>Свод_RJKAM!S61</f>
        <v>0</v>
      </c>
      <c r="S61" s="59">
        <f>Свод_RJKAM!T61</f>
        <v>0</v>
      </c>
      <c r="T61" s="59">
        <f>Свод_RJKAM!U61</f>
        <v>0</v>
      </c>
      <c r="U61" s="59">
        <f>Свод_RJKAM!V61</f>
        <v>0</v>
      </c>
      <c r="V61" s="59">
        <f>Свод_RJKAM!W61</f>
        <v>0</v>
      </c>
      <c r="W61" s="59">
        <f>Свод_RJKAM!X61</f>
        <v>0</v>
      </c>
      <c r="X61" s="59">
        <f>Свод_RJKAM!Y61</f>
        <v>0</v>
      </c>
      <c r="Y61" s="59">
        <f>Свод_RJKAM!Z61</f>
        <v>0</v>
      </c>
      <c r="Z61" s="59">
        <f>Свод_RJKAM!AA61</f>
        <v>0</v>
      </c>
      <c r="AA61" s="59">
        <f>Свод_RJKAM!AB61</f>
        <v>0</v>
      </c>
      <c r="AB61" s="59">
        <f>Свод_RJKAM!AC61</f>
        <v>0</v>
      </c>
      <c r="AC61" s="59">
        <f>Свод_RJKAM!AD61</f>
        <v>0</v>
      </c>
      <c r="AD61" s="59">
        <f>Свод_RJKAM!AE61</f>
        <v>0</v>
      </c>
      <c r="AE61" s="59">
        <f>Свод_RJKAM!AF61</f>
        <v>0</v>
      </c>
    </row>
    <row r="62" spans="1:31" ht="15.75" customHeight="1" x14ac:dyDescent="0.25">
      <c r="A62" s="56">
        <f t="shared" si="9"/>
        <v>8</v>
      </c>
      <c r="B62" s="57">
        <v>477759</v>
      </c>
      <c r="C62" s="57" t="str">
        <f>Свод_RJKAM!D68</f>
        <v>Тептина Д.</v>
      </c>
      <c r="D62" s="58">
        <f>Свод_RJKAM!E68</f>
        <v>2</v>
      </c>
      <c r="E62" s="58">
        <f>Свод_RJKAM!F68</f>
        <v>0</v>
      </c>
      <c r="F62" s="58">
        <f>Свод_RJKAM!G68</f>
        <v>2</v>
      </c>
      <c r="G62" s="59">
        <f>Свод_RJKAM!H68</f>
        <v>0</v>
      </c>
      <c r="H62" s="59">
        <f>Свод_RJKAM!I68</f>
        <v>0</v>
      </c>
      <c r="I62" s="59">
        <f>Свод_RJKAM!J68</f>
        <v>0</v>
      </c>
      <c r="J62" s="59">
        <f>Свод_RJKAM!K68</f>
        <v>0</v>
      </c>
      <c r="K62" s="59">
        <f>Свод_RJKAM!L68</f>
        <v>0</v>
      </c>
      <c r="L62" s="59">
        <f>Свод_RJKAM!M68</f>
        <v>0</v>
      </c>
      <c r="M62" s="59">
        <f>Свод_RJKAM!N68</f>
        <v>0</v>
      </c>
      <c r="N62" s="59">
        <f>Свод_RJKAM!O68</f>
        <v>0</v>
      </c>
      <c r="O62" s="59">
        <f>Свод_RJKAM!P68</f>
        <v>0</v>
      </c>
      <c r="P62" s="59">
        <f>Свод_RJKAM!Q68</f>
        <v>0</v>
      </c>
      <c r="Q62" s="59">
        <f>Свод_RJKAM!R68</f>
        <v>0</v>
      </c>
      <c r="R62" s="59">
        <f>Свод_RJKAM!S68</f>
        <v>0</v>
      </c>
      <c r="S62" s="59">
        <f>Свод_RJKAM!T68</f>
        <v>0</v>
      </c>
      <c r="T62" s="59">
        <f>Свод_RJKAM!U68</f>
        <v>0</v>
      </c>
      <c r="U62" s="59">
        <f>Свод_RJKAM!V68</f>
        <v>0</v>
      </c>
      <c r="V62" s="59">
        <f>Свод_RJKAM!W68</f>
        <v>0</v>
      </c>
      <c r="W62" s="59">
        <f>Свод_RJKAM!X68</f>
        <v>0</v>
      </c>
      <c r="X62" s="59">
        <f>Свод_RJKAM!Y68</f>
        <v>0</v>
      </c>
      <c r="Y62" s="59">
        <f>Свод_RJKAM!Z68</f>
        <v>0</v>
      </c>
      <c r="Z62" s="59">
        <f>Свод_RJKAM!AA68</f>
        <v>0</v>
      </c>
      <c r="AA62" s="59">
        <f>Свод_RJKAM!AB68</f>
        <v>0</v>
      </c>
      <c r="AB62" s="59">
        <f>Свод_RJKAM!AC68</f>
        <v>0</v>
      </c>
      <c r="AC62" s="59">
        <f>Свод_RJKAM!AD68</f>
        <v>0</v>
      </c>
      <c r="AD62" s="59">
        <f>Свод_RJKAM!AE68</f>
        <v>0</v>
      </c>
      <c r="AE62" s="59">
        <f>Свод_RJKAM!AF68</f>
        <v>0</v>
      </c>
    </row>
    <row r="63" spans="1:31" ht="15.75" customHeight="1" x14ac:dyDescent="0.25">
      <c r="A63" s="56">
        <f t="shared" si="9"/>
        <v>9</v>
      </c>
      <c r="B63" s="57">
        <v>478485</v>
      </c>
      <c r="C63" s="57" t="str">
        <f>Свод_RJKAM!D80</f>
        <v>Матвиец И.</v>
      </c>
      <c r="D63" s="58">
        <f>Свод_RJKAM!E80</f>
        <v>2</v>
      </c>
      <c r="E63" s="58">
        <f>Свод_RJKAM!F80</f>
        <v>0</v>
      </c>
      <c r="F63" s="58">
        <f>Свод_RJKAM!G80</f>
        <v>2</v>
      </c>
      <c r="G63" s="59">
        <f>Свод_RJKAM!H80</f>
        <v>0</v>
      </c>
      <c r="H63" s="59">
        <f>Свод_RJKAM!I80</f>
        <v>0</v>
      </c>
      <c r="I63" s="59">
        <f>Свод_RJKAM!J80</f>
        <v>0</v>
      </c>
      <c r="J63" s="59">
        <f>Свод_RJKAM!K80</f>
        <v>0</v>
      </c>
      <c r="K63" s="59">
        <f>Свод_RJKAM!L80</f>
        <v>0</v>
      </c>
      <c r="L63" s="59">
        <f>Свод_RJKAM!M80</f>
        <v>0</v>
      </c>
      <c r="M63" s="59">
        <f>Свод_RJKAM!N80</f>
        <v>0</v>
      </c>
      <c r="N63" s="59">
        <f>Свод_RJKAM!O80</f>
        <v>0</v>
      </c>
      <c r="O63" s="59">
        <f>Свод_RJKAM!P80</f>
        <v>0</v>
      </c>
      <c r="P63" s="59">
        <f>Свод_RJKAM!Q80</f>
        <v>0</v>
      </c>
      <c r="Q63" s="59">
        <f>Свод_RJKAM!R80</f>
        <v>0</v>
      </c>
      <c r="R63" s="59">
        <f>Свод_RJKAM!S80</f>
        <v>0</v>
      </c>
      <c r="S63" s="59">
        <f>Свод_RJKAM!T80</f>
        <v>0</v>
      </c>
      <c r="T63" s="59">
        <f>Свод_RJKAM!U80</f>
        <v>0</v>
      </c>
      <c r="U63" s="59">
        <f>Свод_RJKAM!V80</f>
        <v>0</v>
      </c>
      <c r="V63" s="59">
        <f>Свод_RJKAM!W80</f>
        <v>0</v>
      </c>
      <c r="W63" s="59">
        <f>Свод_RJKAM!X80</f>
        <v>0</v>
      </c>
      <c r="X63" s="59">
        <f>Свод_RJKAM!Y80</f>
        <v>0</v>
      </c>
      <c r="Y63" s="59">
        <f>Свод_RJKAM!Z80</f>
        <v>0</v>
      </c>
      <c r="Z63" s="59">
        <f>Свод_RJKAM!AA80</f>
        <v>0</v>
      </c>
      <c r="AA63" s="59">
        <f>Свод_RJKAM!AB80</f>
        <v>0</v>
      </c>
      <c r="AB63" s="59">
        <f>Свод_RJKAM!AC80</f>
        <v>0</v>
      </c>
      <c r="AC63" s="59">
        <f>Свод_RJKAM!AD80</f>
        <v>0</v>
      </c>
      <c r="AD63" s="59">
        <f>Свод_RJKAM!AE80</f>
        <v>0</v>
      </c>
      <c r="AE63" s="59">
        <f>Свод_RJKAM!AF80</f>
        <v>0</v>
      </c>
    </row>
    <row r="64" spans="1:31" ht="15.75" customHeight="1" x14ac:dyDescent="0.25">
      <c r="A64" s="67">
        <f t="shared" si="9"/>
        <v>10</v>
      </c>
      <c r="B64" s="60">
        <v>478232</v>
      </c>
      <c r="C64" s="60" t="str">
        <f>Свод_RJKAM!D88</f>
        <v>Самылин М.</v>
      </c>
      <c r="D64" s="61">
        <f>Свод_RJKAM!E88</f>
        <v>5</v>
      </c>
      <c r="E64" s="61">
        <f>Свод_RJKAM!F88</f>
        <v>0</v>
      </c>
      <c r="F64" s="61">
        <f>Свод_RJKAM!G88</f>
        <v>5</v>
      </c>
      <c r="G64" s="62">
        <f>Свод_RJKAM!H88</f>
        <v>0</v>
      </c>
      <c r="H64" s="62">
        <f>Свод_RJKAM!I88</f>
        <v>0</v>
      </c>
      <c r="I64" s="62">
        <f>Свод_RJKAM!J88</f>
        <v>0</v>
      </c>
      <c r="J64" s="62">
        <f>Свод_RJKAM!K88</f>
        <v>0</v>
      </c>
      <c r="K64" s="62">
        <f>Свод_RJKAM!L88</f>
        <v>0</v>
      </c>
      <c r="L64" s="62">
        <f>Свод_RJKAM!M88</f>
        <v>0</v>
      </c>
      <c r="M64" s="62">
        <f>Свод_RJKAM!N88</f>
        <v>0</v>
      </c>
      <c r="N64" s="62">
        <f>Свод_RJKAM!O88</f>
        <v>0</v>
      </c>
      <c r="O64" s="62">
        <f>Свод_RJKAM!P88</f>
        <v>0</v>
      </c>
      <c r="P64" s="62">
        <f>Свод_RJKAM!Q88</f>
        <v>0</v>
      </c>
      <c r="Q64" s="62">
        <f>Свод_RJKAM!R88</f>
        <v>0</v>
      </c>
      <c r="R64" s="62">
        <f>Свод_RJKAM!S88</f>
        <v>0</v>
      </c>
      <c r="S64" s="62">
        <f>Свод_RJKAM!T88</f>
        <v>0</v>
      </c>
      <c r="T64" s="62">
        <f>Свод_RJKAM!U88</f>
        <v>0</v>
      </c>
      <c r="U64" s="62">
        <f>Свод_RJKAM!V88</f>
        <v>0</v>
      </c>
      <c r="V64" s="62">
        <f>Свод_RJKAM!W88</f>
        <v>0</v>
      </c>
      <c r="W64" s="62">
        <f>Свод_RJKAM!X88</f>
        <v>0</v>
      </c>
      <c r="X64" s="62">
        <f>Свод_RJKAM!Y88</f>
        <v>0</v>
      </c>
      <c r="Y64" s="62">
        <f>Свод_RJKAM!Z88</f>
        <v>0</v>
      </c>
      <c r="Z64" s="62">
        <f>Свод_RJKAM!AA88</f>
        <v>0</v>
      </c>
      <c r="AA64" s="62">
        <f>Свод_RJKAM!AB88</f>
        <v>0</v>
      </c>
      <c r="AB64" s="62">
        <f>Свод_RJKAM!AC88</f>
        <v>0</v>
      </c>
      <c r="AC64" s="62">
        <f>Свод_RJKAM!AD88</f>
        <v>0</v>
      </c>
      <c r="AD64" s="62">
        <f>Свод_RJKAM!AE88</f>
        <v>0</v>
      </c>
      <c r="AE64" s="62">
        <f>Свод_RJKAM!AF88</f>
        <v>0</v>
      </c>
    </row>
    <row r="65" spans="1:31" ht="15.75" customHeight="1" x14ac:dyDescent="0.25">
      <c r="A65" s="48">
        <v>6</v>
      </c>
      <c r="B65" s="48">
        <v>3402</v>
      </c>
      <c r="C65" s="48" t="s">
        <v>86</v>
      </c>
      <c r="D65" s="49">
        <f>SUM(D66:D68)</f>
        <v>0</v>
      </c>
      <c r="E65" s="49">
        <f>SUM(E66:E68)</f>
        <v>59</v>
      </c>
      <c r="F65" s="49">
        <f>SUM(F66:F68)</f>
        <v>59</v>
      </c>
      <c r="G65" s="50">
        <f>AVERAGE(G66:G68)</f>
        <v>0</v>
      </c>
      <c r="H65" s="50">
        <f t="shared" ref="H65:AE65" si="10">AVERAGE(H66:H68)</f>
        <v>0</v>
      </c>
      <c r="I65" s="50">
        <f t="shared" si="10"/>
        <v>0</v>
      </c>
      <c r="J65" s="50">
        <f t="shared" si="10"/>
        <v>0</v>
      </c>
      <c r="K65" s="50">
        <f t="shared" si="10"/>
        <v>0</v>
      </c>
      <c r="L65" s="50">
        <f t="shared" si="10"/>
        <v>0</v>
      </c>
      <c r="M65" s="50">
        <f t="shared" si="10"/>
        <v>0</v>
      </c>
      <c r="N65" s="50">
        <f t="shared" si="10"/>
        <v>0</v>
      </c>
      <c r="O65" s="50">
        <f t="shared" si="10"/>
        <v>0</v>
      </c>
      <c r="P65" s="50">
        <f t="shared" si="10"/>
        <v>0</v>
      </c>
      <c r="Q65" s="50">
        <f t="shared" si="10"/>
        <v>0</v>
      </c>
      <c r="R65" s="50">
        <f t="shared" si="10"/>
        <v>0</v>
      </c>
      <c r="S65" s="50">
        <f t="shared" si="10"/>
        <v>0</v>
      </c>
      <c r="T65" s="50">
        <f t="shared" si="10"/>
        <v>0</v>
      </c>
      <c r="U65" s="50">
        <f t="shared" si="10"/>
        <v>0</v>
      </c>
      <c r="V65" s="50">
        <f t="shared" si="10"/>
        <v>0</v>
      </c>
      <c r="W65" s="50">
        <f t="shared" si="10"/>
        <v>0</v>
      </c>
      <c r="X65" s="50">
        <f t="shared" si="10"/>
        <v>0</v>
      </c>
      <c r="Y65" s="50">
        <f t="shared" si="10"/>
        <v>0</v>
      </c>
      <c r="Z65" s="50">
        <f t="shared" si="10"/>
        <v>0</v>
      </c>
      <c r="AA65" s="50">
        <f t="shared" si="10"/>
        <v>0</v>
      </c>
      <c r="AB65" s="50">
        <f t="shared" si="10"/>
        <v>0</v>
      </c>
      <c r="AC65" s="50">
        <f t="shared" si="10"/>
        <v>0</v>
      </c>
      <c r="AD65" s="50">
        <f t="shared" si="10"/>
        <v>0</v>
      </c>
      <c r="AE65" s="50">
        <f t="shared" si="10"/>
        <v>0</v>
      </c>
    </row>
    <row r="66" spans="1:31" ht="15.75" customHeight="1" x14ac:dyDescent="0.25">
      <c r="A66" s="51">
        <v>1</v>
      </c>
      <c r="B66" s="52">
        <v>478489</v>
      </c>
      <c r="C66" s="52" t="str">
        <f>Свод_RJKAM!D26</f>
        <v>Шилкин Д.</v>
      </c>
      <c r="D66" s="53">
        <f>Свод_RJKAM!E26</f>
        <v>0</v>
      </c>
      <c r="E66" s="53">
        <f>Свод_RJKAM!F26</f>
        <v>46</v>
      </c>
      <c r="F66" s="53">
        <f>Свод_RJKAM!G26</f>
        <v>46</v>
      </c>
      <c r="G66" s="54">
        <f>Свод_RJKAM!H26</f>
        <v>0</v>
      </c>
      <c r="H66" s="54">
        <f>Свод_RJKAM!I26</f>
        <v>0</v>
      </c>
      <c r="I66" s="54">
        <f>Свод_RJKAM!J26</f>
        <v>0</v>
      </c>
      <c r="J66" s="54">
        <f>Свод_RJKAM!K26</f>
        <v>0</v>
      </c>
      <c r="K66" s="54">
        <f>Свод_RJKAM!L26</f>
        <v>0</v>
      </c>
      <c r="L66" s="54">
        <f>Свод_RJKAM!M26</f>
        <v>0</v>
      </c>
      <c r="M66" s="54">
        <f>Свод_RJKAM!N26</f>
        <v>0</v>
      </c>
      <c r="N66" s="54">
        <f>Свод_RJKAM!O26</f>
        <v>0</v>
      </c>
      <c r="O66" s="54">
        <f>Свод_RJKAM!P26</f>
        <v>0</v>
      </c>
      <c r="P66" s="54">
        <f>Свод_RJKAM!Q26</f>
        <v>0</v>
      </c>
      <c r="Q66" s="54">
        <f>Свод_RJKAM!R26</f>
        <v>0</v>
      </c>
      <c r="R66" s="54">
        <f>Свод_RJKAM!S26</f>
        <v>0</v>
      </c>
      <c r="S66" s="54">
        <f>Свод_RJKAM!T26</f>
        <v>0</v>
      </c>
      <c r="T66" s="54">
        <f>Свод_RJKAM!U26</f>
        <v>0</v>
      </c>
      <c r="U66" s="54">
        <f>Свод_RJKAM!V26</f>
        <v>0</v>
      </c>
      <c r="V66" s="54">
        <f>Свод_RJKAM!W26</f>
        <v>0</v>
      </c>
      <c r="W66" s="54">
        <f>Свод_RJKAM!X26</f>
        <v>0</v>
      </c>
      <c r="X66" s="54">
        <f>Свод_RJKAM!Y26</f>
        <v>0</v>
      </c>
      <c r="Y66" s="54">
        <f>Свод_RJKAM!Z26</f>
        <v>0</v>
      </c>
      <c r="Z66" s="54">
        <f>Свод_RJKAM!AA26</f>
        <v>0</v>
      </c>
      <c r="AA66" s="54">
        <f>Свод_RJKAM!AB26</f>
        <v>0</v>
      </c>
      <c r="AB66" s="54">
        <f>Свод_RJKAM!AC26</f>
        <v>0</v>
      </c>
      <c r="AC66" s="54">
        <f>Свод_RJKAM!AD26</f>
        <v>0</v>
      </c>
      <c r="AD66" s="54">
        <f>Свод_RJKAM!AE26</f>
        <v>0</v>
      </c>
      <c r="AE66" s="54">
        <f>Свод_RJKAM!AF26</f>
        <v>0</v>
      </c>
    </row>
    <row r="67" spans="1:31" ht="15.75" customHeight="1" x14ac:dyDescent="0.25">
      <c r="A67" s="56">
        <f>A66+1</f>
        <v>2</v>
      </c>
      <c r="B67" s="57">
        <v>478485</v>
      </c>
      <c r="C67" s="57" t="str">
        <f>Свод_RJKAM!D81</f>
        <v>Матвиец И.</v>
      </c>
      <c r="D67" s="58">
        <f>Свод_RJKAM!E81</f>
        <v>0</v>
      </c>
      <c r="E67" s="58">
        <f>Свод_RJKAM!F81</f>
        <v>4</v>
      </c>
      <c r="F67" s="58">
        <f>Свод_RJKAM!G81</f>
        <v>4</v>
      </c>
      <c r="G67" s="59">
        <f>Свод_RJKAM!H81</f>
        <v>0</v>
      </c>
      <c r="H67" s="59">
        <f>Свод_RJKAM!I81</f>
        <v>0</v>
      </c>
      <c r="I67" s="59">
        <f>Свод_RJKAM!J81</f>
        <v>0</v>
      </c>
      <c r="J67" s="59">
        <f>Свод_RJKAM!K81</f>
        <v>0</v>
      </c>
      <c r="K67" s="59">
        <f>Свод_RJKAM!L81</f>
        <v>0</v>
      </c>
      <c r="L67" s="59">
        <f>Свод_RJKAM!M81</f>
        <v>0</v>
      </c>
      <c r="M67" s="59">
        <f>Свод_RJKAM!N81</f>
        <v>0</v>
      </c>
      <c r="N67" s="59">
        <f>Свод_RJKAM!O81</f>
        <v>0</v>
      </c>
      <c r="O67" s="59">
        <f>Свод_RJKAM!P81</f>
        <v>0</v>
      </c>
      <c r="P67" s="59">
        <f>Свод_RJKAM!Q81</f>
        <v>0</v>
      </c>
      <c r="Q67" s="59">
        <f>Свод_RJKAM!R81</f>
        <v>0</v>
      </c>
      <c r="R67" s="59">
        <f>Свод_RJKAM!S81</f>
        <v>0</v>
      </c>
      <c r="S67" s="59">
        <f>Свод_RJKAM!T81</f>
        <v>0</v>
      </c>
      <c r="T67" s="59">
        <f>Свод_RJKAM!U81</f>
        <v>0</v>
      </c>
      <c r="U67" s="59">
        <f>Свод_RJKAM!V81</f>
        <v>0</v>
      </c>
      <c r="V67" s="59">
        <f>Свод_RJKAM!W81</f>
        <v>0</v>
      </c>
      <c r="W67" s="59">
        <f>Свод_RJKAM!X81</f>
        <v>0</v>
      </c>
      <c r="X67" s="59">
        <f>Свод_RJKAM!Y81</f>
        <v>0</v>
      </c>
      <c r="Y67" s="59">
        <f>Свод_RJKAM!Z81</f>
        <v>0</v>
      </c>
      <c r="Z67" s="59">
        <f>Свод_RJKAM!AA81</f>
        <v>0</v>
      </c>
      <c r="AA67" s="59">
        <f>Свод_RJKAM!AB81</f>
        <v>0</v>
      </c>
      <c r="AB67" s="59">
        <f>Свод_RJKAM!AC81</f>
        <v>0</v>
      </c>
      <c r="AC67" s="59">
        <f>Свод_RJKAM!AD81</f>
        <v>0</v>
      </c>
      <c r="AD67" s="59">
        <f>Свод_RJKAM!AE81</f>
        <v>0</v>
      </c>
      <c r="AE67" s="59">
        <f>Свод_RJKAM!AF81</f>
        <v>0</v>
      </c>
    </row>
    <row r="68" spans="1:31" ht="15.75" customHeight="1" x14ac:dyDescent="0.25">
      <c r="A68" s="67">
        <f>A67+1</f>
        <v>3</v>
      </c>
      <c r="B68" s="60">
        <v>478232</v>
      </c>
      <c r="C68" s="60" t="str">
        <f>Свод_RJKAM!D89</f>
        <v>Самылин М.</v>
      </c>
      <c r="D68" s="61">
        <f>Свод_RJKAM!E89</f>
        <v>0</v>
      </c>
      <c r="E68" s="61">
        <f>Свод_RJKAM!F89</f>
        <v>9</v>
      </c>
      <c r="F68" s="61">
        <f>Свод_RJKAM!G89</f>
        <v>9</v>
      </c>
      <c r="G68" s="62">
        <f>Свод_RJKAM!H89</f>
        <v>0</v>
      </c>
      <c r="H68" s="62">
        <f>Свод_RJKAM!I89</f>
        <v>0</v>
      </c>
      <c r="I68" s="62">
        <f>Свод_RJKAM!J89</f>
        <v>0</v>
      </c>
      <c r="J68" s="62">
        <f>Свод_RJKAM!K89</f>
        <v>0</v>
      </c>
      <c r="K68" s="62">
        <f>Свод_RJKAM!L89</f>
        <v>0</v>
      </c>
      <c r="L68" s="62">
        <f>Свод_RJKAM!M89</f>
        <v>0</v>
      </c>
      <c r="M68" s="62">
        <f>Свод_RJKAM!N89</f>
        <v>0</v>
      </c>
      <c r="N68" s="62">
        <f>Свод_RJKAM!O89</f>
        <v>0</v>
      </c>
      <c r="O68" s="62">
        <f>Свод_RJKAM!P89</f>
        <v>0</v>
      </c>
      <c r="P68" s="62">
        <f>Свод_RJKAM!Q89</f>
        <v>0</v>
      </c>
      <c r="Q68" s="62">
        <f>Свод_RJKAM!R89</f>
        <v>0</v>
      </c>
      <c r="R68" s="62">
        <f>Свод_RJKAM!S89</f>
        <v>0</v>
      </c>
      <c r="S68" s="62">
        <f>Свод_RJKAM!T89</f>
        <v>0</v>
      </c>
      <c r="T68" s="62">
        <f>Свод_RJKAM!U89</f>
        <v>0</v>
      </c>
      <c r="U68" s="62">
        <f>Свод_RJKAM!V89</f>
        <v>0</v>
      </c>
      <c r="V68" s="62">
        <f>Свод_RJKAM!W89</f>
        <v>0</v>
      </c>
      <c r="W68" s="62">
        <f>Свод_RJKAM!X89</f>
        <v>0</v>
      </c>
      <c r="X68" s="62">
        <f>Свод_RJKAM!Y89</f>
        <v>0</v>
      </c>
      <c r="Y68" s="62">
        <f>Свод_RJKAM!Z89</f>
        <v>0</v>
      </c>
      <c r="Z68" s="62">
        <f>Свод_RJKAM!AA89</f>
        <v>0</v>
      </c>
      <c r="AA68" s="62">
        <f>Свод_RJKAM!AB89</f>
        <v>0</v>
      </c>
      <c r="AB68" s="62">
        <f>Свод_RJKAM!AC89</f>
        <v>0</v>
      </c>
      <c r="AC68" s="62">
        <f>Свод_RJKAM!AD89</f>
        <v>0</v>
      </c>
      <c r="AD68" s="62">
        <f>Свод_RJKAM!AE89</f>
        <v>0</v>
      </c>
      <c r="AE68" s="62">
        <f>Свод_RJKAM!AF89</f>
        <v>0</v>
      </c>
    </row>
    <row r="69" spans="1:31" ht="15.75" customHeight="1" x14ac:dyDescent="0.25">
      <c r="A69" s="48">
        <v>7</v>
      </c>
      <c r="B69" s="48">
        <v>6019</v>
      </c>
      <c r="C69" s="48" t="s">
        <v>87</v>
      </c>
      <c r="D69" s="49">
        <f>SUM(D70:D81)</f>
        <v>54</v>
      </c>
      <c r="E69" s="49">
        <f>SUM(E70:E81)</f>
        <v>147</v>
      </c>
      <c r="F69" s="49">
        <f>SUM(F70:F81)</f>
        <v>201</v>
      </c>
      <c r="G69" s="50">
        <f>AVERAGE(G70:G81)</f>
        <v>0</v>
      </c>
      <c r="H69" s="50">
        <f t="shared" ref="H69:AE69" si="11">AVERAGE(H70:H81)</f>
        <v>0</v>
      </c>
      <c r="I69" s="50">
        <f t="shared" si="11"/>
        <v>0</v>
      </c>
      <c r="J69" s="50">
        <f t="shared" si="11"/>
        <v>0</v>
      </c>
      <c r="K69" s="50">
        <f t="shared" si="11"/>
        <v>0</v>
      </c>
      <c r="L69" s="50">
        <f t="shared" si="11"/>
        <v>0</v>
      </c>
      <c r="M69" s="50">
        <f t="shared" si="11"/>
        <v>0</v>
      </c>
      <c r="N69" s="50">
        <f t="shared" si="11"/>
        <v>0</v>
      </c>
      <c r="O69" s="50">
        <f t="shared" si="11"/>
        <v>0</v>
      </c>
      <c r="P69" s="50">
        <f t="shared" si="11"/>
        <v>0</v>
      </c>
      <c r="Q69" s="50">
        <f t="shared" si="11"/>
        <v>0</v>
      </c>
      <c r="R69" s="50">
        <f t="shared" si="11"/>
        <v>0</v>
      </c>
      <c r="S69" s="50">
        <f t="shared" si="11"/>
        <v>0</v>
      </c>
      <c r="T69" s="50">
        <f t="shared" si="11"/>
        <v>0</v>
      </c>
      <c r="U69" s="50">
        <f t="shared" si="11"/>
        <v>0</v>
      </c>
      <c r="V69" s="50">
        <f t="shared" si="11"/>
        <v>0</v>
      </c>
      <c r="W69" s="50">
        <f t="shared" si="11"/>
        <v>0</v>
      </c>
      <c r="X69" s="50">
        <f t="shared" si="11"/>
        <v>0</v>
      </c>
      <c r="Y69" s="50">
        <f t="shared" si="11"/>
        <v>0</v>
      </c>
      <c r="Z69" s="50">
        <f t="shared" si="11"/>
        <v>0</v>
      </c>
      <c r="AA69" s="50">
        <f t="shared" si="11"/>
        <v>0</v>
      </c>
      <c r="AB69" s="50">
        <f t="shared" si="11"/>
        <v>0</v>
      </c>
      <c r="AC69" s="50">
        <f t="shared" si="11"/>
        <v>0</v>
      </c>
      <c r="AD69" s="50">
        <f t="shared" si="11"/>
        <v>0</v>
      </c>
      <c r="AE69" s="50">
        <f t="shared" si="11"/>
        <v>0</v>
      </c>
    </row>
    <row r="70" spans="1:31" ht="15.75" customHeight="1" x14ac:dyDescent="0.25">
      <c r="A70" s="51">
        <v>1</v>
      </c>
      <c r="B70" s="52">
        <v>477431</v>
      </c>
      <c r="C70" s="52" t="str">
        <f>Свод_RJKAM!D10</f>
        <v>Беспятов В.</v>
      </c>
      <c r="D70" s="53">
        <f>Свод_RJKAM!E10</f>
        <v>4</v>
      </c>
      <c r="E70" s="53">
        <f>Свод_RJKAM!F10</f>
        <v>0</v>
      </c>
      <c r="F70" s="53">
        <f>Свод_RJKAM!G10</f>
        <v>4</v>
      </c>
      <c r="G70" s="54">
        <f>Свод_RJKAM!H10</f>
        <v>0</v>
      </c>
      <c r="H70" s="54">
        <f>Свод_RJKAM!I10</f>
        <v>0</v>
      </c>
      <c r="I70" s="54">
        <f>Свод_RJKAM!J10</f>
        <v>0</v>
      </c>
      <c r="J70" s="54">
        <f>Свод_RJKAM!K10</f>
        <v>0</v>
      </c>
      <c r="K70" s="54">
        <f>Свод_RJKAM!L10</f>
        <v>0</v>
      </c>
      <c r="L70" s="54">
        <f>Свод_RJKAM!M10</f>
        <v>0</v>
      </c>
      <c r="M70" s="54">
        <f>Свод_RJKAM!N10</f>
        <v>0</v>
      </c>
      <c r="N70" s="54">
        <f>Свод_RJKAM!O10</f>
        <v>0</v>
      </c>
      <c r="O70" s="54">
        <f>Свод_RJKAM!P10</f>
        <v>0</v>
      </c>
      <c r="P70" s="54">
        <f>Свод_RJKAM!Q10</f>
        <v>0</v>
      </c>
      <c r="Q70" s="54">
        <f>Свод_RJKAM!R10</f>
        <v>0</v>
      </c>
      <c r="R70" s="54">
        <f>Свод_RJKAM!S10</f>
        <v>0</v>
      </c>
      <c r="S70" s="54">
        <f>Свод_RJKAM!T10</f>
        <v>0</v>
      </c>
      <c r="T70" s="54">
        <f>Свод_RJKAM!U10</f>
        <v>0</v>
      </c>
      <c r="U70" s="54">
        <f>Свод_RJKAM!V10</f>
        <v>0</v>
      </c>
      <c r="V70" s="54">
        <f>Свод_RJKAM!W10</f>
        <v>0</v>
      </c>
      <c r="W70" s="54">
        <f>Свод_RJKAM!X10</f>
        <v>0</v>
      </c>
      <c r="X70" s="54">
        <f>Свод_RJKAM!Y10</f>
        <v>0</v>
      </c>
      <c r="Y70" s="54">
        <f>Свод_RJKAM!Z10</f>
        <v>0</v>
      </c>
      <c r="Z70" s="54">
        <f>Свод_RJKAM!AA10</f>
        <v>0</v>
      </c>
      <c r="AA70" s="54">
        <f>Свод_RJKAM!AB10</f>
        <v>0</v>
      </c>
      <c r="AB70" s="54">
        <f>Свод_RJKAM!AC10</f>
        <v>0</v>
      </c>
      <c r="AC70" s="54">
        <f>Свод_RJKAM!AD10</f>
        <v>0</v>
      </c>
      <c r="AD70" s="54">
        <f>Свод_RJKAM!AE10</f>
        <v>0</v>
      </c>
      <c r="AE70" s="54">
        <f>Свод_RJKAM!AF10</f>
        <v>0</v>
      </c>
    </row>
    <row r="71" spans="1:31" ht="15.75" customHeight="1" x14ac:dyDescent="0.25">
      <c r="A71" s="56">
        <f>A70+1</f>
        <v>2</v>
      </c>
      <c r="B71" s="57">
        <v>478488</v>
      </c>
      <c r="C71" s="57" t="str">
        <f>Свод_RJKAM!D16</f>
        <v>Белова Н.</v>
      </c>
      <c r="D71" s="58">
        <f>Свод_RJKAM!E16</f>
        <v>0</v>
      </c>
      <c r="E71" s="58">
        <f>Свод_RJKAM!F16</f>
        <v>4</v>
      </c>
      <c r="F71" s="58">
        <f>Свод_RJKAM!G16</f>
        <v>4</v>
      </c>
      <c r="G71" s="59">
        <f>Свод_RJKAM!H16</f>
        <v>0</v>
      </c>
      <c r="H71" s="59">
        <f>Свод_RJKAM!I16</f>
        <v>0</v>
      </c>
      <c r="I71" s="59">
        <f>Свод_RJKAM!J16</f>
        <v>0</v>
      </c>
      <c r="J71" s="59">
        <f>Свод_RJKAM!K16</f>
        <v>0</v>
      </c>
      <c r="K71" s="59">
        <f>Свод_RJKAM!L16</f>
        <v>0</v>
      </c>
      <c r="L71" s="59">
        <f>Свод_RJKAM!M16</f>
        <v>0</v>
      </c>
      <c r="M71" s="59">
        <f>Свод_RJKAM!N16</f>
        <v>0</v>
      </c>
      <c r="N71" s="59">
        <f>Свод_RJKAM!O16</f>
        <v>0</v>
      </c>
      <c r="O71" s="59">
        <f>Свод_RJKAM!P16</f>
        <v>0</v>
      </c>
      <c r="P71" s="59">
        <f>Свод_RJKAM!Q16</f>
        <v>0</v>
      </c>
      <c r="Q71" s="59">
        <f>Свод_RJKAM!R16</f>
        <v>0</v>
      </c>
      <c r="R71" s="59">
        <f>Свод_RJKAM!S16</f>
        <v>0</v>
      </c>
      <c r="S71" s="59">
        <f>Свод_RJKAM!T16</f>
        <v>0</v>
      </c>
      <c r="T71" s="59">
        <f>Свод_RJKAM!U16</f>
        <v>0</v>
      </c>
      <c r="U71" s="59">
        <f>Свод_RJKAM!V16</f>
        <v>0</v>
      </c>
      <c r="V71" s="59">
        <f>Свод_RJKAM!W16</f>
        <v>0</v>
      </c>
      <c r="W71" s="59">
        <f>Свод_RJKAM!X16</f>
        <v>0</v>
      </c>
      <c r="X71" s="59">
        <f>Свод_RJKAM!Y16</f>
        <v>0</v>
      </c>
      <c r="Y71" s="59">
        <f>Свод_RJKAM!Z16</f>
        <v>0</v>
      </c>
      <c r="Z71" s="59">
        <f>Свод_RJKAM!AA16</f>
        <v>0</v>
      </c>
      <c r="AA71" s="59">
        <f>Свод_RJKAM!AB16</f>
        <v>0</v>
      </c>
      <c r="AB71" s="59">
        <f>Свод_RJKAM!AC16</f>
        <v>0</v>
      </c>
      <c r="AC71" s="59">
        <f>Свод_RJKAM!AD16</f>
        <v>0</v>
      </c>
      <c r="AD71" s="59">
        <f>Свод_RJKAM!AE16</f>
        <v>0</v>
      </c>
      <c r="AE71" s="59">
        <f>Свод_RJKAM!AF16</f>
        <v>0</v>
      </c>
    </row>
    <row r="72" spans="1:31" ht="15.75" customHeight="1" x14ac:dyDescent="0.25">
      <c r="A72" s="56">
        <f t="shared" ref="A72:A81" si="12">A71+1</f>
        <v>3</v>
      </c>
      <c r="B72" s="57">
        <v>479375</v>
      </c>
      <c r="C72" s="57" t="str">
        <f>Свод_RJKAM!D28</f>
        <v>Долгошеев И.</v>
      </c>
      <c r="D72" s="58">
        <f>Свод_RJKAM!E28</f>
        <v>18</v>
      </c>
      <c r="E72" s="58">
        <f>Свод_RJKAM!F28</f>
        <v>28</v>
      </c>
      <c r="F72" s="58">
        <f>Свод_RJKAM!G28</f>
        <v>46</v>
      </c>
      <c r="G72" s="59">
        <f>Свод_RJKAM!H28</f>
        <v>0</v>
      </c>
      <c r="H72" s="59">
        <f>Свод_RJKAM!I28</f>
        <v>0</v>
      </c>
      <c r="I72" s="59">
        <f>Свод_RJKAM!J28</f>
        <v>0</v>
      </c>
      <c r="J72" s="59">
        <f>Свод_RJKAM!K28</f>
        <v>0</v>
      </c>
      <c r="K72" s="59">
        <f>Свод_RJKAM!L28</f>
        <v>0</v>
      </c>
      <c r="L72" s="59">
        <f>Свод_RJKAM!M28</f>
        <v>0</v>
      </c>
      <c r="M72" s="59">
        <f>Свод_RJKAM!N28</f>
        <v>0</v>
      </c>
      <c r="N72" s="59">
        <f>Свод_RJKAM!O28</f>
        <v>0</v>
      </c>
      <c r="O72" s="59">
        <f>Свод_RJKAM!P28</f>
        <v>0</v>
      </c>
      <c r="P72" s="59">
        <f>Свод_RJKAM!Q28</f>
        <v>0</v>
      </c>
      <c r="Q72" s="59">
        <f>Свод_RJKAM!R28</f>
        <v>0</v>
      </c>
      <c r="R72" s="59">
        <f>Свод_RJKAM!S28</f>
        <v>0</v>
      </c>
      <c r="S72" s="59">
        <f>Свод_RJKAM!T28</f>
        <v>0</v>
      </c>
      <c r="T72" s="59">
        <f>Свод_RJKAM!U28</f>
        <v>0</v>
      </c>
      <c r="U72" s="59">
        <f>Свод_RJKAM!V28</f>
        <v>0</v>
      </c>
      <c r="V72" s="59">
        <f>Свод_RJKAM!W28</f>
        <v>0</v>
      </c>
      <c r="W72" s="59">
        <f>Свод_RJKAM!X28</f>
        <v>0</v>
      </c>
      <c r="X72" s="59">
        <f>Свод_RJKAM!Y28</f>
        <v>0</v>
      </c>
      <c r="Y72" s="59">
        <f>Свод_RJKAM!Z28</f>
        <v>0</v>
      </c>
      <c r="Z72" s="59">
        <f>Свод_RJKAM!AA28</f>
        <v>0</v>
      </c>
      <c r="AA72" s="59">
        <f>Свод_RJKAM!AB28</f>
        <v>0</v>
      </c>
      <c r="AB72" s="59">
        <f>Свод_RJKAM!AC28</f>
        <v>0</v>
      </c>
      <c r="AC72" s="59">
        <f>Свод_RJKAM!AD28</f>
        <v>0</v>
      </c>
      <c r="AD72" s="59">
        <f>Свод_RJKAM!AE28</f>
        <v>0</v>
      </c>
      <c r="AE72" s="59">
        <f>Свод_RJKAM!AF28</f>
        <v>0</v>
      </c>
    </row>
    <row r="73" spans="1:31" ht="15.75" customHeight="1" x14ac:dyDescent="0.25">
      <c r="A73" s="56">
        <f t="shared" si="12"/>
        <v>4</v>
      </c>
      <c r="B73" s="57">
        <v>476902</v>
      </c>
      <c r="C73" s="57" t="str">
        <f>Свод_RJKAM!D36</f>
        <v>Евдоков И.</v>
      </c>
      <c r="D73" s="58">
        <f>Свод_RJKAM!E36</f>
        <v>14</v>
      </c>
      <c r="E73" s="58">
        <f>Свод_RJKAM!F36</f>
        <v>48</v>
      </c>
      <c r="F73" s="58">
        <f>Свод_RJKAM!G36</f>
        <v>62</v>
      </c>
      <c r="G73" s="59">
        <f>Свод_RJKAM!H36</f>
        <v>0</v>
      </c>
      <c r="H73" s="59">
        <f>Свод_RJKAM!I36</f>
        <v>0</v>
      </c>
      <c r="I73" s="59">
        <f>Свод_RJKAM!J36</f>
        <v>0</v>
      </c>
      <c r="J73" s="59">
        <f>Свод_RJKAM!K36</f>
        <v>0</v>
      </c>
      <c r="K73" s="59">
        <f>Свод_RJKAM!L36</f>
        <v>0</v>
      </c>
      <c r="L73" s="59">
        <f>Свод_RJKAM!M36</f>
        <v>0</v>
      </c>
      <c r="M73" s="59">
        <f>Свод_RJKAM!N36</f>
        <v>0</v>
      </c>
      <c r="N73" s="59">
        <f>Свод_RJKAM!O36</f>
        <v>0</v>
      </c>
      <c r="O73" s="59">
        <f>Свод_RJKAM!P36</f>
        <v>0</v>
      </c>
      <c r="P73" s="59">
        <f>Свод_RJKAM!Q36</f>
        <v>0</v>
      </c>
      <c r="Q73" s="59">
        <f>Свод_RJKAM!R36</f>
        <v>0</v>
      </c>
      <c r="R73" s="59">
        <f>Свод_RJKAM!S36</f>
        <v>0</v>
      </c>
      <c r="S73" s="59">
        <f>Свод_RJKAM!T36</f>
        <v>0</v>
      </c>
      <c r="T73" s="59">
        <f>Свод_RJKAM!U36</f>
        <v>0</v>
      </c>
      <c r="U73" s="59">
        <f>Свод_RJKAM!V36</f>
        <v>0</v>
      </c>
      <c r="V73" s="59">
        <f>Свод_RJKAM!W36</f>
        <v>0</v>
      </c>
      <c r="W73" s="59">
        <f>Свод_RJKAM!X36</f>
        <v>0</v>
      </c>
      <c r="X73" s="59">
        <f>Свод_RJKAM!Y36</f>
        <v>0</v>
      </c>
      <c r="Y73" s="59">
        <f>Свод_RJKAM!Z36</f>
        <v>0</v>
      </c>
      <c r="Z73" s="59">
        <f>Свод_RJKAM!AA36</f>
        <v>0</v>
      </c>
      <c r="AA73" s="59">
        <f>Свод_RJKAM!AB36</f>
        <v>0</v>
      </c>
      <c r="AB73" s="59">
        <f>Свод_RJKAM!AC36</f>
        <v>0</v>
      </c>
      <c r="AC73" s="59">
        <f>Свод_RJKAM!AD36</f>
        <v>0</v>
      </c>
      <c r="AD73" s="59">
        <f>Свод_RJKAM!AE36</f>
        <v>0</v>
      </c>
      <c r="AE73" s="59">
        <f>Свод_RJKAM!AF36</f>
        <v>0</v>
      </c>
    </row>
    <row r="74" spans="1:31" ht="15.75" customHeight="1" x14ac:dyDescent="0.25">
      <c r="A74" s="56">
        <f t="shared" si="12"/>
        <v>5</v>
      </c>
      <c r="B74" s="57">
        <v>476735</v>
      </c>
      <c r="C74" s="57" t="str">
        <f>Свод_RJKAM!D41</f>
        <v>Ворновской Э.</v>
      </c>
      <c r="D74" s="58">
        <f>Свод_RJKAM!E41</f>
        <v>0</v>
      </c>
      <c r="E74" s="58">
        <f>Свод_RJKAM!F41</f>
        <v>4</v>
      </c>
      <c r="F74" s="58">
        <f>Свод_RJKAM!G41</f>
        <v>4</v>
      </c>
      <c r="G74" s="59">
        <f>Свод_RJKAM!H41</f>
        <v>0</v>
      </c>
      <c r="H74" s="59">
        <f>Свод_RJKAM!I41</f>
        <v>0</v>
      </c>
      <c r="I74" s="59">
        <f>Свод_RJKAM!J41</f>
        <v>0</v>
      </c>
      <c r="J74" s="59">
        <f>Свод_RJKAM!K41</f>
        <v>0</v>
      </c>
      <c r="K74" s="59">
        <f>Свод_RJKAM!L41</f>
        <v>0</v>
      </c>
      <c r="L74" s="59">
        <f>Свод_RJKAM!M41</f>
        <v>0</v>
      </c>
      <c r="M74" s="59">
        <f>Свод_RJKAM!N41</f>
        <v>0</v>
      </c>
      <c r="N74" s="59">
        <f>Свод_RJKAM!O41</f>
        <v>0</v>
      </c>
      <c r="O74" s="59">
        <f>Свод_RJKAM!P41</f>
        <v>0</v>
      </c>
      <c r="P74" s="59">
        <f>Свод_RJKAM!Q41</f>
        <v>0</v>
      </c>
      <c r="Q74" s="59">
        <f>Свод_RJKAM!R41</f>
        <v>0</v>
      </c>
      <c r="R74" s="59">
        <f>Свод_RJKAM!S41</f>
        <v>0</v>
      </c>
      <c r="S74" s="59">
        <f>Свод_RJKAM!T41</f>
        <v>0</v>
      </c>
      <c r="T74" s="59">
        <f>Свод_RJKAM!U41</f>
        <v>0</v>
      </c>
      <c r="U74" s="59">
        <f>Свод_RJKAM!V41</f>
        <v>0</v>
      </c>
      <c r="V74" s="59">
        <f>Свод_RJKAM!W41</f>
        <v>0</v>
      </c>
      <c r="W74" s="59">
        <f>Свод_RJKAM!X41</f>
        <v>0</v>
      </c>
      <c r="X74" s="59">
        <f>Свод_RJKAM!Y41</f>
        <v>0</v>
      </c>
      <c r="Y74" s="59">
        <f>Свод_RJKAM!Z41</f>
        <v>0</v>
      </c>
      <c r="Z74" s="59">
        <f>Свод_RJKAM!AA41</f>
        <v>0</v>
      </c>
      <c r="AA74" s="59">
        <f>Свод_RJKAM!AB41</f>
        <v>0</v>
      </c>
      <c r="AB74" s="59">
        <f>Свод_RJKAM!AC41</f>
        <v>0</v>
      </c>
      <c r="AC74" s="59">
        <f>Свод_RJKAM!AD41</f>
        <v>0</v>
      </c>
      <c r="AD74" s="59">
        <f>Свод_RJKAM!AE41</f>
        <v>0</v>
      </c>
      <c r="AE74" s="59">
        <f>Свод_RJKAM!AF41</f>
        <v>0</v>
      </c>
    </row>
    <row r="75" spans="1:31" ht="15.75" customHeight="1" x14ac:dyDescent="0.25">
      <c r="A75" s="56">
        <f t="shared" si="12"/>
        <v>6</v>
      </c>
      <c r="B75" s="57">
        <v>476904</v>
      </c>
      <c r="C75" s="57" t="str">
        <f>Свод_RJKAM!D48</f>
        <v>Галкина В.</v>
      </c>
      <c r="D75" s="58">
        <f>Свод_RJKAM!E48</f>
        <v>4</v>
      </c>
      <c r="E75" s="58">
        <f>Свод_RJKAM!F48</f>
        <v>14</v>
      </c>
      <c r="F75" s="58">
        <f>Свод_RJKAM!G48</f>
        <v>18</v>
      </c>
      <c r="G75" s="59">
        <f>Свод_RJKAM!H48</f>
        <v>0</v>
      </c>
      <c r="H75" s="59">
        <f>Свод_RJKAM!I48</f>
        <v>0</v>
      </c>
      <c r="I75" s="59">
        <f>Свод_RJKAM!J48</f>
        <v>0</v>
      </c>
      <c r="J75" s="59">
        <f>Свод_RJKAM!K48</f>
        <v>0</v>
      </c>
      <c r="K75" s="59">
        <f>Свод_RJKAM!L48</f>
        <v>0</v>
      </c>
      <c r="L75" s="59">
        <f>Свод_RJKAM!M48</f>
        <v>0</v>
      </c>
      <c r="M75" s="59">
        <f>Свод_RJKAM!N48</f>
        <v>0</v>
      </c>
      <c r="N75" s="59">
        <f>Свод_RJKAM!O48</f>
        <v>0</v>
      </c>
      <c r="O75" s="59">
        <f>Свод_RJKAM!P48</f>
        <v>0</v>
      </c>
      <c r="P75" s="59">
        <f>Свод_RJKAM!Q48</f>
        <v>0</v>
      </c>
      <c r="Q75" s="59">
        <f>Свод_RJKAM!R48</f>
        <v>0</v>
      </c>
      <c r="R75" s="59">
        <f>Свод_RJKAM!S48</f>
        <v>0</v>
      </c>
      <c r="S75" s="59">
        <f>Свод_RJKAM!T48</f>
        <v>0</v>
      </c>
      <c r="T75" s="59">
        <f>Свод_RJKAM!U48</f>
        <v>0</v>
      </c>
      <c r="U75" s="59">
        <f>Свод_RJKAM!V48</f>
        <v>0</v>
      </c>
      <c r="V75" s="59">
        <f>Свод_RJKAM!W48</f>
        <v>0</v>
      </c>
      <c r="W75" s="59">
        <f>Свод_RJKAM!X48</f>
        <v>0</v>
      </c>
      <c r="X75" s="59">
        <f>Свод_RJKAM!Y48</f>
        <v>0</v>
      </c>
      <c r="Y75" s="59">
        <f>Свод_RJKAM!Z48</f>
        <v>0</v>
      </c>
      <c r="Z75" s="59">
        <f>Свод_RJKAM!AA48</f>
        <v>0</v>
      </c>
      <c r="AA75" s="59">
        <f>Свод_RJKAM!AB48</f>
        <v>0</v>
      </c>
      <c r="AB75" s="59">
        <f>Свод_RJKAM!AC48</f>
        <v>0</v>
      </c>
      <c r="AC75" s="59">
        <f>Свод_RJKAM!AD48</f>
        <v>0</v>
      </c>
      <c r="AD75" s="59">
        <f>Свод_RJKAM!AE48</f>
        <v>0</v>
      </c>
      <c r="AE75" s="59">
        <f>Свод_RJKAM!AF48</f>
        <v>0</v>
      </c>
    </row>
    <row r="76" spans="1:31" ht="15.75" customHeight="1" x14ac:dyDescent="0.25">
      <c r="A76" s="56">
        <f t="shared" si="12"/>
        <v>7</v>
      </c>
      <c r="B76" s="57">
        <v>476900</v>
      </c>
      <c r="C76" s="57" t="str">
        <f>Свод_RJKAM!D55</f>
        <v>Назмутдинов В.</v>
      </c>
      <c r="D76" s="58">
        <f>Свод_RJKAM!E55</f>
        <v>2</v>
      </c>
      <c r="E76" s="58">
        <f>Свод_RJKAM!F55</f>
        <v>4</v>
      </c>
      <c r="F76" s="58">
        <f>Свод_RJKAM!G55</f>
        <v>6</v>
      </c>
      <c r="G76" s="59">
        <f>Свод_RJKAM!H55</f>
        <v>0</v>
      </c>
      <c r="H76" s="59">
        <f>Свод_RJKAM!I55</f>
        <v>0</v>
      </c>
      <c r="I76" s="59">
        <f>Свод_RJKAM!J55</f>
        <v>0</v>
      </c>
      <c r="J76" s="59">
        <f>Свод_RJKAM!K55</f>
        <v>0</v>
      </c>
      <c r="K76" s="59">
        <f>Свод_RJKAM!L55</f>
        <v>0</v>
      </c>
      <c r="L76" s="59">
        <f>Свод_RJKAM!M55</f>
        <v>0</v>
      </c>
      <c r="M76" s="59">
        <f>Свод_RJKAM!N55</f>
        <v>0</v>
      </c>
      <c r="N76" s="59">
        <f>Свод_RJKAM!O55</f>
        <v>0</v>
      </c>
      <c r="O76" s="59">
        <f>Свод_RJKAM!P55</f>
        <v>0</v>
      </c>
      <c r="P76" s="59">
        <f>Свод_RJKAM!Q55</f>
        <v>0</v>
      </c>
      <c r="Q76" s="59">
        <f>Свод_RJKAM!R55</f>
        <v>0</v>
      </c>
      <c r="R76" s="59">
        <f>Свод_RJKAM!S55</f>
        <v>0</v>
      </c>
      <c r="S76" s="59">
        <f>Свод_RJKAM!T55</f>
        <v>0</v>
      </c>
      <c r="T76" s="59">
        <f>Свод_RJKAM!U55</f>
        <v>0</v>
      </c>
      <c r="U76" s="59">
        <f>Свод_RJKAM!V55</f>
        <v>0</v>
      </c>
      <c r="V76" s="59">
        <f>Свод_RJKAM!W55</f>
        <v>0</v>
      </c>
      <c r="W76" s="59">
        <f>Свод_RJKAM!X55</f>
        <v>0</v>
      </c>
      <c r="X76" s="59">
        <f>Свод_RJKAM!Y55</f>
        <v>0</v>
      </c>
      <c r="Y76" s="59">
        <f>Свод_RJKAM!Z55</f>
        <v>0</v>
      </c>
      <c r="Z76" s="59">
        <f>Свод_RJKAM!AA55</f>
        <v>0</v>
      </c>
      <c r="AA76" s="59">
        <f>Свод_RJKAM!AB55</f>
        <v>0</v>
      </c>
      <c r="AB76" s="59">
        <f>Свод_RJKAM!AC55</f>
        <v>0</v>
      </c>
      <c r="AC76" s="59">
        <f>Свод_RJKAM!AD55</f>
        <v>0</v>
      </c>
      <c r="AD76" s="59">
        <f>Свод_RJKAM!AE55</f>
        <v>0</v>
      </c>
      <c r="AE76" s="59">
        <f>Свод_RJKAM!AF55</f>
        <v>0</v>
      </c>
    </row>
    <row r="77" spans="1:31" ht="15.75" customHeight="1" x14ac:dyDescent="0.25">
      <c r="A77" s="56">
        <f t="shared" si="12"/>
        <v>8</v>
      </c>
      <c r="B77" s="57">
        <v>477760</v>
      </c>
      <c r="C77" s="57" t="str">
        <f>Свод_RJKAM!D62</f>
        <v>Иванов В.</v>
      </c>
      <c r="D77" s="58">
        <f>Свод_RJKAM!E62</f>
        <v>0</v>
      </c>
      <c r="E77" s="58">
        <f>Свод_RJKAM!F62</f>
        <v>11</v>
      </c>
      <c r="F77" s="58">
        <f>Свод_RJKAM!G62</f>
        <v>11</v>
      </c>
      <c r="G77" s="59">
        <f>Свод_RJKAM!H62</f>
        <v>0</v>
      </c>
      <c r="H77" s="59">
        <f>Свод_RJKAM!I62</f>
        <v>0</v>
      </c>
      <c r="I77" s="59">
        <f>Свод_RJKAM!J62</f>
        <v>0</v>
      </c>
      <c r="J77" s="59">
        <f>Свод_RJKAM!K62</f>
        <v>0</v>
      </c>
      <c r="K77" s="59">
        <f>Свод_RJKAM!L62</f>
        <v>0</v>
      </c>
      <c r="L77" s="59">
        <f>Свод_RJKAM!M62</f>
        <v>0</v>
      </c>
      <c r="M77" s="59">
        <f>Свод_RJKAM!N62</f>
        <v>0</v>
      </c>
      <c r="N77" s="59">
        <f>Свод_RJKAM!O62</f>
        <v>0</v>
      </c>
      <c r="O77" s="59">
        <f>Свод_RJKAM!P62</f>
        <v>0</v>
      </c>
      <c r="P77" s="59">
        <f>Свод_RJKAM!Q62</f>
        <v>0</v>
      </c>
      <c r="Q77" s="59">
        <f>Свод_RJKAM!R62</f>
        <v>0</v>
      </c>
      <c r="R77" s="59">
        <f>Свод_RJKAM!S62</f>
        <v>0</v>
      </c>
      <c r="S77" s="59">
        <f>Свод_RJKAM!T62</f>
        <v>0</v>
      </c>
      <c r="T77" s="59">
        <f>Свод_RJKAM!U62</f>
        <v>0</v>
      </c>
      <c r="U77" s="59">
        <f>Свод_RJKAM!V62</f>
        <v>0</v>
      </c>
      <c r="V77" s="59">
        <f>Свод_RJKAM!W62</f>
        <v>0</v>
      </c>
      <c r="W77" s="59">
        <f>Свод_RJKAM!X62</f>
        <v>0</v>
      </c>
      <c r="X77" s="59">
        <f>Свод_RJKAM!Y62</f>
        <v>0</v>
      </c>
      <c r="Y77" s="59">
        <f>Свод_RJKAM!Z62</f>
        <v>0</v>
      </c>
      <c r="Z77" s="59">
        <f>Свод_RJKAM!AA62</f>
        <v>0</v>
      </c>
      <c r="AA77" s="59">
        <f>Свод_RJKAM!AB62</f>
        <v>0</v>
      </c>
      <c r="AB77" s="59">
        <f>Свод_RJKAM!AC62</f>
        <v>0</v>
      </c>
      <c r="AC77" s="59">
        <f>Свод_RJKAM!AD62</f>
        <v>0</v>
      </c>
      <c r="AD77" s="59">
        <f>Свод_RJKAM!AE62</f>
        <v>0</v>
      </c>
      <c r="AE77" s="59">
        <f>Свод_RJKAM!AF62</f>
        <v>0</v>
      </c>
    </row>
    <row r="78" spans="1:31" ht="15.75" customHeight="1" x14ac:dyDescent="0.25">
      <c r="A78" s="56">
        <f t="shared" si="12"/>
        <v>9</v>
      </c>
      <c r="B78" s="57">
        <v>477759</v>
      </c>
      <c r="C78" s="57" t="str">
        <f>Свод_RJKAM!D69</f>
        <v>Тептина Д.</v>
      </c>
      <c r="D78" s="58">
        <f>Свод_RJKAM!E69</f>
        <v>3</v>
      </c>
      <c r="E78" s="58">
        <f>Свод_RJKAM!F69</f>
        <v>6</v>
      </c>
      <c r="F78" s="58">
        <f>Свод_RJKAM!G69</f>
        <v>9</v>
      </c>
      <c r="G78" s="59">
        <f>Свод_RJKAM!H69</f>
        <v>0</v>
      </c>
      <c r="H78" s="59">
        <f>Свод_RJKAM!I69</f>
        <v>0</v>
      </c>
      <c r="I78" s="59">
        <f>Свод_RJKAM!J69</f>
        <v>0</v>
      </c>
      <c r="J78" s="59">
        <f>Свод_RJKAM!K69</f>
        <v>0</v>
      </c>
      <c r="K78" s="59">
        <f>Свод_RJKAM!L69</f>
        <v>0</v>
      </c>
      <c r="L78" s="59">
        <f>Свод_RJKAM!M69</f>
        <v>0</v>
      </c>
      <c r="M78" s="59">
        <f>Свод_RJKAM!N69</f>
        <v>0</v>
      </c>
      <c r="N78" s="59">
        <f>Свод_RJKAM!O69</f>
        <v>0</v>
      </c>
      <c r="O78" s="59">
        <f>Свод_RJKAM!P69</f>
        <v>0</v>
      </c>
      <c r="P78" s="59">
        <f>Свод_RJKAM!Q69</f>
        <v>0</v>
      </c>
      <c r="Q78" s="59">
        <f>Свод_RJKAM!R69</f>
        <v>0</v>
      </c>
      <c r="R78" s="59">
        <f>Свод_RJKAM!S69</f>
        <v>0</v>
      </c>
      <c r="S78" s="59">
        <f>Свод_RJKAM!T69</f>
        <v>0</v>
      </c>
      <c r="T78" s="59">
        <f>Свод_RJKAM!U69</f>
        <v>0</v>
      </c>
      <c r="U78" s="59">
        <f>Свод_RJKAM!V69</f>
        <v>0</v>
      </c>
      <c r="V78" s="59">
        <f>Свод_RJKAM!W69</f>
        <v>0</v>
      </c>
      <c r="W78" s="59">
        <f>Свод_RJKAM!X69</f>
        <v>0</v>
      </c>
      <c r="X78" s="59">
        <f>Свод_RJKAM!Y69</f>
        <v>0</v>
      </c>
      <c r="Y78" s="59">
        <f>Свод_RJKAM!Z69</f>
        <v>0</v>
      </c>
      <c r="Z78" s="59">
        <f>Свод_RJKAM!AA69</f>
        <v>0</v>
      </c>
      <c r="AA78" s="59">
        <f>Свод_RJKAM!AB69</f>
        <v>0</v>
      </c>
      <c r="AB78" s="59">
        <f>Свод_RJKAM!AC69</f>
        <v>0</v>
      </c>
      <c r="AC78" s="59">
        <f>Свод_RJKAM!AD69</f>
        <v>0</v>
      </c>
      <c r="AD78" s="59">
        <f>Свод_RJKAM!AE69</f>
        <v>0</v>
      </c>
      <c r="AE78" s="59">
        <f>Свод_RJKAM!AF69</f>
        <v>0</v>
      </c>
    </row>
    <row r="79" spans="1:31" ht="15.75" customHeight="1" x14ac:dyDescent="0.25">
      <c r="A79" s="56">
        <f t="shared" si="12"/>
        <v>10</v>
      </c>
      <c r="B79" s="57">
        <v>476091</v>
      </c>
      <c r="C79" s="57" t="str">
        <f>Свод_RJKAM!D75</f>
        <v>Минхаеров А.</v>
      </c>
      <c r="D79" s="58">
        <f>Свод_RJKAM!E75</f>
        <v>1</v>
      </c>
      <c r="E79" s="58">
        <f>Свод_RJKAM!F75</f>
        <v>6</v>
      </c>
      <c r="F79" s="58">
        <f>Свод_RJKAM!G75</f>
        <v>7</v>
      </c>
      <c r="G79" s="59">
        <f>Свод_RJKAM!H75</f>
        <v>0</v>
      </c>
      <c r="H79" s="59">
        <f>Свод_RJKAM!I75</f>
        <v>0</v>
      </c>
      <c r="I79" s="59">
        <f>Свод_RJKAM!J75</f>
        <v>0</v>
      </c>
      <c r="J79" s="59">
        <f>Свод_RJKAM!K75</f>
        <v>0</v>
      </c>
      <c r="K79" s="59">
        <f>Свод_RJKAM!L75</f>
        <v>0</v>
      </c>
      <c r="L79" s="59">
        <f>Свод_RJKAM!M75</f>
        <v>0</v>
      </c>
      <c r="M79" s="59">
        <f>Свод_RJKAM!N75</f>
        <v>0</v>
      </c>
      <c r="N79" s="59">
        <f>Свод_RJKAM!O75</f>
        <v>0</v>
      </c>
      <c r="O79" s="59">
        <f>Свод_RJKAM!P75</f>
        <v>0</v>
      </c>
      <c r="P79" s="59">
        <f>Свод_RJKAM!Q75</f>
        <v>0</v>
      </c>
      <c r="Q79" s="59">
        <f>Свод_RJKAM!R75</f>
        <v>0</v>
      </c>
      <c r="R79" s="59">
        <f>Свод_RJKAM!S75</f>
        <v>0</v>
      </c>
      <c r="S79" s="59">
        <f>Свод_RJKAM!T75</f>
        <v>0</v>
      </c>
      <c r="T79" s="59">
        <f>Свод_RJKAM!U75</f>
        <v>0</v>
      </c>
      <c r="U79" s="59">
        <f>Свод_RJKAM!V75</f>
        <v>0</v>
      </c>
      <c r="V79" s="59">
        <f>Свод_RJKAM!W75</f>
        <v>0</v>
      </c>
      <c r="W79" s="59">
        <f>Свод_RJKAM!X75</f>
        <v>0</v>
      </c>
      <c r="X79" s="59">
        <f>Свод_RJKAM!Y75</f>
        <v>0</v>
      </c>
      <c r="Y79" s="59">
        <f>Свод_RJKAM!Z75</f>
        <v>0</v>
      </c>
      <c r="Z79" s="59">
        <f>Свод_RJKAM!AA75</f>
        <v>0</v>
      </c>
      <c r="AA79" s="59">
        <f>Свод_RJKAM!AB75</f>
        <v>0</v>
      </c>
      <c r="AB79" s="59">
        <f>Свод_RJKAM!AC75</f>
        <v>0</v>
      </c>
      <c r="AC79" s="59">
        <f>Свод_RJKAM!AD75</f>
        <v>0</v>
      </c>
      <c r="AD79" s="59">
        <f>Свод_RJKAM!AE75</f>
        <v>0</v>
      </c>
      <c r="AE79" s="59">
        <f>Свод_RJKAM!AF75</f>
        <v>0</v>
      </c>
    </row>
    <row r="80" spans="1:31" ht="15.75" customHeight="1" x14ac:dyDescent="0.25">
      <c r="A80" s="56">
        <f t="shared" si="12"/>
        <v>11</v>
      </c>
      <c r="B80" s="57">
        <v>478485</v>
      </c>
      <c r="C80" s="57" t="str">
        <f>Свод_RJKAM!D82</f>
        <v>Матвиец И.</v>
      </c>
      <c r="D80" s="58">
        <f>Свод_RJKAM!E82</f>
        <v>3</v>
      </c>
      <c r="E80" s="58">
        <f>Свод_RJKAM!F82</f>
        <v>8</v>
      </c>
      <c r="F80" s="58">
        <f>Свод_RJKAM!G82</f>
        <v>11</v>
      </c>
      <c r="G80" s="59">
        <f>Свод_RJKAM!H82</f>
        <v>0</v>
      </c>
      <c r="H80" s="59">
        <f>Свод_RJKAM!I82</f>
        <v>0</v>
      </c>
      <c r="I80" s="59">
        <f>Свод_RJKAM!J82</f>
        <v>0</v>
      </c>
      <c r="J80" s="59">
        <f>Свод_RJKAM!K82</f>
        <v>0</v>
      </c>
      <c r="K80" s="59">
        <f>Свод_RJKAM!L82</f>
        <v>0</v>
      </c>
      <c r="L80" s="59">
        <f>Свод_RJKAM!M82</f>
        <v>0</v>
      </c>
      <c r="M80" s="59">
        <f>Свод_RJKAM!N82</f>
        <v>0</v>
      </c>
      <c r="N80" s="59">
        <f>Свод_RJKAM!O82</f>
        <v>0</v>
      </c>
      <c r="O80" s="59">
        <f>Свод_RJKAM!P82</f>
        <v>0</v>
      </c>
      <c r="P80" s="59">
        <f>Свод_RJKAM!Q82</f>
        <v>0</v>
      </c>
      <c r="Q80" s="59">
        <f>Свод_RJKAM!R82</f>
        <v>0</v>
      </c>
      <c r="R80" s="59">
        <f>Свод_RJKAM!S82</f>
        <v>0</v>
      </c>
      <c r="S80" s="59">
        <f>Свод_RJKAM!T82</f>
        <v>0</v>
      </c>
      <c r="T80" s="59">
        <f>Свод_RJKAM!U82</f>
        <v>0</v>
      </c>
      <c r="U80" s="59">
        <f>Свод_RJKAM!V82</f>
        <v>0</v>
      </c>
      <c r="V80" s="59">
        <f>Свод_RJKAM!W82</f>
        <v>0</v>
      </c>
      <c r="W80" s="59">
        <f>Свод_RJKAM!X82</f>
        <v>0</v>
      </c>
      <c r="X80" s="59">
        <f>Свод_RJKAM!Y82</f>
        <v>0</v>
      </c>
      <c r="Y80" s="59">
        <f>Свод_RJKAM!Z82</f>
        <v>0</v>
      </c>
      <c r="Z80" s="59">
        <f>Свод_RJKAM!AA82</f>
        <v>0</v>
      </c>
      <c r="AA80" s="59">
        <f>Свод_RJKAM!AB82</f>
        <v>0</v>
      </c>
      <c r="AB80" s="59">
        <f>Свод_RJKAM!AC82</f>
        <v>0</v>
      </c>
      <c r="AC80" s="59">
        <f>Свод_RJKAM!AD82</f>
        <v>0</v>
      </c>
      <c r="AD80" s="59">
        <f>Свод_RJKAM!AE82</f>
        <v>0</v>
      </c>
      <c r="AE80" s="59">
        <f>Свод_RJKAM!AF82</f>
        <v>0</v>
      </c>
    </row>
    <row r="81" spans="1:31" ht="15.75" customHeight="1" x14ac:dyDescent="0.25">
      <c r="A81" s="67">
        <f t="shared" si="12"/>
        <v>12</v>
      </c>
      <c r="B81" s="60">
        <v>478232</v>
      </c>
      <c r="C81" s="60" t="str">
        <f>Свод_RJKAM!D90</f>
        <v>Самылин М.</v>
      </c>
      <c r="D81" s="61">
        <f>Свод_RJKAM!E90</f>
        <v>5</v>
      </c>
      <c r="E81" s="61">
        <f>Свод_RJKAM!F90</f>
        <v>14</v>
      </c>
      <c r="F81" s="61">
        <f>Свод_RJKAM!G90</f>
        <v>19</v>
      </c>
      <c r="G81" s="62">
        <f>Свод_RJKAM!H90</f>
        <v>0</v>
      </c>
      <c r="H81" s="62">
        <f>Свод_RJKAM!I90</f>
        <v>0</v>
      </c>
      <c r="I81" s="62">
        <f>Свод_RJKAM!J90</f>
        <v>0</v>
      </c>
      <c r="J81" s="62">
        <f>Свод_RJKAM!K90</f>
        <v>0</v>
      </c>
      <c r="K81" s="62">
        <f>Свод_RJKAM!L90</f>
        <v>0</v>
      </c>
      <c r="L81" s="62">
        <f>Свод_RJKAM!M90</f>
        <v>0</v>
      </c>
      <c r="M81" s="62">
        <f>Свод_RJKAM!N90</f>
        <v>0</v>
      </c>
      <c r="N81" s="62">
        <f>Свод_RJKAM!O90</f>
        <v>0</v>
      </c>
      <c r="O81" s="62">
        <f>Свод_RJKAM!P90</f>
        <v>0</v>
      </c>
      <c r="P81" s="62">
        <f>Свод_RJKAM!Q90</f>
        <v>0</v>
      </c>
      <c r="Q81" s="62">
        <f>Свод_RJKAM!R90</f>
        <v>0</v>
      </c>
      <c r="R81" s="62">
        <f>Свод_RJKAM!S90</f>
        <v>0</v>
      </c>
      <c r="S81" s="62">
        <f>Свод_RJKAM!T90</f>
        <v>0</v>
      </c>
      <c r="T81" s="62">
        <f>Свод_RJKAM!U90</f>
        <v>0</v>
      </c>
      <c r="U81" s="62">
        <f>Свод_RJKAM!V90</f>
        <v>0</v>
      </c>
      <c r="V81" s="62">
        <f>Свод_RJKAM!W90</f>
        <v>0</v>
      </c>
      <c r="W81" s="62">
        <f>Свод_RJKAM!X90</f>
        <v>0</v>
      </c>
      <c r="X81" s="62">
        <f>Свод_RJKAM!Y90</f>
        <v>0</v>
      </c>
      <c r="Y81" s="62">
        <f>Свод_RJKAM!Z90</f>
        <v>0</v>
      </c>
      <c r="Z81" s="62">
        <f>Свод_RJKAM!AA90</f>
        <v>0</v>
      </c>
      <c r="AA81" s="62">
        <f>Свод_RJKAM!AB90</f>
        <v>0</v>
      </c>
      <c r="AB81" s="62">
        <f>Свод_RJKAM!AC90</f>
        <v>0</v>
      </c>
      <c r="AC81" s="62">
        <f>Свод_RJKAM!AD90</f>
        <v>0</v>
      </c>
      <c r="AD81" s="62">
        <f>Свод_RJKAM!AE90</f>
        <v>0</v>
      </c>
      <c r="AE81" s="62">
        <f>Свод_RJKAM!AF90</f>
        <v>0</v>
      </c>
    </row>
  </sheetData>
  <mergeCells count="13">
    <mergeCell ref="U5:V5"/>
    <mergeCell ref="W5:X5"/>
    <mergeCell ref="Y5:Z5"/>
    <mergeCell ref="AD1:AE1"/>
    <mergeCell ref="A4:A5"/>
    <mergeCell ref="C4:C5"/>
    <mergeCell ref="D4:F4"/>
    <mergeCell ref="G4:K4"/>
    <mergeCell ref="L4:P4"/>
    <mergeCell ref="Q4:Z4"/>
    <mergeCell ref="AA4:AE4"/>
    <mergeCell ref="Q5:R5"/>
    <mergeCell ref="S5:T5"/>
  </mergeCells>
  <conditionalFormatting sqref="G4:AE4 G5:Q5 S5 U5 W5">
    <cfRule type="containsErrors" dxfId="32" priority="5">
      <formula>ISERROR(G4)</formula>
    </cfRule>
  </conditionalFormatting>
  <conditionalFormatting sqref="G41:AE53">
    <cfRule type="containsErrors" dxfId="31" priority="4">
      <formula>ISERROR(G41)</formula>
    </cfRule>
  </conditionalFormatting>
  <conditionalFormatting sqref="G54:AE64">
    <cfRule type="containsErrors" dxfId="30" priority="3">
      <formula>ISERROR(G54)</formula>
    </cfRule>
  </conditionalFormatting>
  <conditionalFormatting sqref="G18:AE30">
    <cfRule type="containsErrors" dxfId="29" priority="2">
      <formula>ISERROR(G18)</formula>
    </cfRule>
  </conditionalFormatting>
  <conditionalFormatting sqref="AD1">
    <cfRule type="cellIs" dxfId="28" priority="1" operator="equal">
      <formula>0</formula>
    </cfRule>
  </conditionalFormatting>
  <pageMargins left="0" right="0" top="0" bottom="0" header="0" footer="0"/>
  <pageSetup paperSize="9" scale="4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outlinePr summaryBelow="0"/>
    <pageSetUpPr fitToPage="1"/>
  </sheetPr>
  <dimension ref="A1:AF93"/>
  <sheetViews>
    <sheetView showZeros="0" zoomScale="85" zoomScaleNormal="85" workbookViewId="0">
      <pane ySplit="5" topLeftCell="A6" activePane="bottomLeft" state="frozen"/>
      <selection activeCell="M24" sqref="M24"/>
      <selection pane="bottomLeft" activeCell="H15" sqref="H15"/>
    </sheetView>
  </sheetViews>
  <sheetFormatPr defaultRowHeight="12.75" outlineLevelRow="1" outlineLevelCol="1" x14ac:dyDescent="0.25"/>
  <cols>
    <col min="1" max="1" width="5.140625" style="38" customWidth="1"/>
    <col min="2" max="2" width="16.28515625" style="39" hidden="1" customWidth="1" outlineLevel="1"/>
    <col min="3" max="3" width="21.42578125" style="38" customWidth="1" collapsed="1"/>
    <col min="4" max="4" width="18" style="38" hidden="1" customWidth="1" outlineLevel="1"/>
    <col min="5" max="5" width="5.5703125" style="39" customWidth="1" collapsed="1"/>
    <col min="6" max="7" width="5.5703125" style="39" customWidth="1"/>
    <col min="8" max="12" width="7.7109375" style="40" customWidth="1"/>
    <col min="13" max="18" width="7.7109375" style="41" customWidth="1"/>
    <col min="19" max="20" width="7.7109375" style="40" customWidth="1"/>
    <col min="21" max="21" width="7.7109375" style="41" customWidth="1"/>
    <col min="22" max="22" width="7.7109375" style="40" customWidth="1"/>
    <col min="23" max="23" width="7.7109375" style="41" customWidth="1"/>
    <col min="24" max="24" width="7.7109375" style="40" customWidth="1"/>
    <col min="25" max="25" width="7.7109375" style="41" customWidth="1"/>
    <col min="26" max="26" width="7.7109375" style="40" customWidth="1"/>
    <col min="27" max="32" width="7.7109375" style="41" customWidth="1"/>
    <col min="33" max="16384" width="9.140625" style="38"/>
  </cols>
  <sheetData>
    <row r="1" spans="1:32" ht="15" customHeight="1" x14ac:dyDescent="0.25">
      <c r="AE1" s="83">
        <f ca="1">TODAY()</f>
        <v>42964</v>
      </c>
      <c r="AF1" s="83"/>
    </row>
    <row r="2" spans="1:32" ht="15" x14ac:dyDescent="0.25">
      <c r="A2" s="42" t="s">
        <v>88</v>
      </c>
    </row>
    <row r="3" spans="1:32" x14ac:dyDescent="0.25">
      <c r="H3" s="43"/>
      <c r="I3" s="43"/>
      <c r="J3" s="43"/>
      <c r="K3" s="43"/>
      <c r="L3" s="43"/>
      <c r="M3" s="44"/>
      <c r="N3" s="44"/>
      <c r="O3" s="44"/>
      <c r="P3" s="44"/>
      <c r="Q3" s="44"/>
      <c r="R3" s="44"/>
      <c r="S3" s="43"/>
      <c r="T3" s="43"/>
      <c r="U3" s="44"/>
      <c r="V3" s="43"/>
      <c r="W3" s="44"/>
      <c r="X3" s="43"/>
      <c r="Y3" s="44"/>
      <c r="Z3" s="43"/>
      <c r="AA3" s="44"/>
      <c r="AB3" s="44"/>
      <c r="AC3" s="44"/>
      <c r="AD3" s="44"/>
      <c r="AE3" s="44"/>
      <c r="AF3" s="44"/>
    </row>
    <row r="4" spans="1:32" ht="17.25" customHeight="1" x14ac:dyDescent="0.25">
      <c r="A4" s="84" t="s">
        <v>7</v>
      </c>
      <c r="B4" s="78" t="s">
        <v>51</v>
      </c>
      <c r="C4" s="76" t="s">
        <v>69</v>
      </c>
      <c r="D4" s="78" t="s">
        <v>89</v>
      </c>
      <c r="E4" s="86" t="s">
        <v>70</v>
      </c>
      <c r="F4" s="87"/>
      <c r="G4" s="88"/>
      <c r="H4" s="89" t="s">
        <v>90</v>
      </c>
      <c r="I4" s="89"/>
      <c r="J4" s="89"/>
      <c r="K4" s="89"/>
      <c r="L4" s="89"/>
      <c r="M4" s="90" t="s">
        <v>91</v>
      </c>
      <c r="N4" s="90"/>
      <c r="O4" s="90"/>
      <c r="P4" s="90"/>
      <c r="Q4" s="90"/>
      <c r="R4" s="91" t="s">
        <v>92</v>
      </c>
      <c r="S4" s="91"/>
      <c r="T4" s="91"/>
      <c r="U4" s="91"/>
      <c r="V4" s="91"/>
      <c r="W4" s="91"/>
      <c r="X4" s="91"/>
      <c r="Y4" s="91"/>
      <c r="Z4" s="91"/>
      <c r="AA4" s="91"/>
      <c r="AB4" s="92" t="s">
        <v>93</v>
      </c>
      <c r="AC4" s="92"/>
      <c r="AD4" s="92"/>
      <c r="AE4" s="92"/>
      <c r="AF4" s="92"/>
    </row>
    <row r="5" spans="1:32" ht="17.25" customHeight="1" x14ac:dyDescent="0.25">
      <c r="A5" s="85"/>
      <c r="B5" s="77" t="s">
        <v>73</v>
      </c>
      <c r="C5" s="77"/>
      <c r="D5" s="77"/>
      <c r="E5" s="77" t="s">
        <v>74</v>
      </c>
      <c r="F5" s="77" t="s">
        <v>75</v>
      </c>
      <c r="G5" s="77" t="s">
        <v>50</v>
      </c>
      <c r="H5" s="45" t="s">
        <v>76</v>
      </c>
      <c r="I5" s="45" t="s">
        <v>77</v>
      </c>
      <c r="J5" s="45" t="s">
        <v>78</v>
      </c>
      <c r="K5" s="45" t="s">
        <v>79</v>
      </c>
      <c r="L5" s="45" t="s">
        <v>80</v>
      </c>
      <c r="M5" s="46" t="s">
        <v>76</v>
      </c>
      <c r="N5" s="46" t="s">
        <v>77</v>
      </c>
      <c r="O5" s="46" t="s">
        <v>78</v>
      </c>
      <c r="P5" s="46" t="s">
        <v>79</v>
      </c>
      <c r="Q5" s="46" t="s">
        <v>80</v>
      </c>
      <c r="R5" s="81" t="s">
        <v>76</v>
      </c>
      <c r="S5" s="82"/>
      <c r="T5" s="81" t="s">
        <v>77</v>
      </c>
      <c r="U5" s="82"/>
      <c r="V5" s="81" t="s">
        <v>78</v>
      </c>
      <c r="W5" s="82"/>
      <c r="X5" s="81" t="s">
        <v>79</v>
      </c>
      <c r="Y5" s="82"/>
      <c r="Z5" s="81" t="s">
        <v>80</v>
      </c>
      <c r="AA5" s="82"/>
      <c r="AB5" s="47" t="s">
        <v>76</v>
      </c>
      <c r="AC5" s="47" t="s">
        <v>77</v>
      </c>
      <c r="AD5" s="47" t="s">
        <v>78</v>
      </c>
      <c r="AE5" s="47" t="s">
        <v>79</v>
      </c>
      <c r="AF5" s="47" t="s">
        <v>80</v>
      </c>
    </row>
    <row r="6" spans="1:32" ht="15.75" customHeight="1" x14ac:dyDescent="0.25">
      <c r="A6" s="63">
        <v>1</v>
      </c>
      <c r="B6" s="64">
        <v>477431</v>
      </c>
      <c r="C6" s="63" t="s">
        <v>94</v>
      </c>
      <c r="D6" s="63"/>
      <c r="E6" s="64">
        <v>28</v>
      </c>
      <c r="F6" s="64">
        <v>2</v>
      </c>
      <c r="G6" s="64">
        <v>30</v>
      </c>
      <c r="H6" s="65"/>
      <c r="I6" s="65"/>
      <c r="J6" s="65"/>
      <c r="K6" s="65"/>
      <c r="L6" s="65"/>
      <c r="M6" s="66"/>
      <c r="N6" s="66"/>
      <c r="O6" s="66"/>
      <c r="P6" s="66"/>
      <c r="Q6" s="66"/>
      <c r="R6" s="66"/>
      <c r="S6" s="65"/>
      <c r="T6" s="65"/>
      <c r="U6" s="66"/>
      <c r="V6" s="65"/>
      <c r="W6" s="66"/>
      <c r="X6" s="65"/>
      <c r="Y6" s="66"/>
      <c r="Z6" s="65"/>
      <c r="AA6" s="66"/>
      <c r="AB6" s="66"/>
      <c r="AC6" s="66"/>
      <c r="AD6" s="66"/>
      <c r="AE6" s="66"/>
      <c r="AF6" s="66"/>
    </row>
    <row r="7" spans="1:32" outlineLevel="1" x14ac:dyDescent="0.25">
      <c r="A7" s="51"/>
      <c r="B7" s="53">
        <v>2703</v>
      </c>
      <c r="C7" s="52" t="s">
        <v>84</v>
      </c>
      <c r="D7" s="52" t="s">
        <v>94</v>
      </c>
      <c r="E7" s="53">
        <v>5</v>
      </c>
      <c r="F7" s="53">
        <v>0</v>
      </c>
      <c r="G7" s="53">
        <v>5</v>
      </c>
      <c r="H7" s="54"/>
      <c r="I7" s="54"/>
      <c r="J7" s="54"/>
      <c r="K7" s="54"/>
      <c r="L7" s="54"/>
      <c r="M7" s="55"/>
      <c r="N7" s="55"/>
      <c r="O7" s="55"/>
      <c r="P7" s="55"/>
      <c r="Q7" s="55"/>
      <c r="R7" s="79"/>
      <c r="S7" s="80"/>
      <c r="T7" s="54"/>
      <c r="U7" s="55"/>
      <c r="V7" s="54"/>
      <c r="W7" s="55"/>
      <c r="X7" s="54"/>
      <c r="Y7" s="55"/>
      <c r="Z7" s="54"/>
      <c r="AA7" s="55"/>
      <c r="AB7" s="55"/>
      <c r="AC7" s="55"/>
      <c r="AD7" s="55"/>
      <c r="AE7" s="55"/>
      <c r="AF7" s="55"/>
    </row>
    <row r="8" spans="1:32" outlineLevel="1" x14ac:dyDescent="0.25">
      <c r="A8" s="51"/>
      <c r="B8" s="53">
        <v>4540</v>
      </c>
      <c r="C8" s="52" t="s">
        <v>83</v>
      </c>
      <c r="D8" s="52" t="s">
        <v>94</v>
      </c>
      <c r="E8" s="53">
        <v>1</v>
      </c>
      <c r="F8" s="53">
        <v>2</v>
      </c>
      <c r="G8" s="53">
        <v>3</v>
      </c>
      <c r="H8" s="54"/>
      <c r="I8" s="54"/>
      <c r="J8" s="54"/>
      <c r="K8" s="54"/>
      <c r="L8" s="54"/>
      <c r="M8" s="55"/>
      <c r="N8" s="55"/>
      <c r="O8" s="55"/>
      <c r="P8" s="55"/>
      <c r="Q8" s="55"/>
      <c r="R8" s="55"/>
      <c r="S8" s="54"/>
      <c r="T8" s="54"/>
      <c r="U8" s="55"/>
      <c r="V8" s="54"/>
      <c r="W8" s="55"/>
      <c r="X8" s="54"/>
      <c r="Y8" s="55"/>
      <c r="Z8" s="54"/>
      <c r="AA8" s="55"/>
      <c r="AB8" s="55"/>
      <c r="AC8" s="55"/>
      <c r="AD8" s="55"/>
      <c r="AE8" s="55"/>
      <c r="AF8" s="55"/>
    </row>
    <row r="9" spans="1:32" outlineLevel="1" x14ac:dyDescent="0.25">
      <c r="A9" s="51"/>
      <c r="B9" s="53">
        <v>2674</v>
      </c>
      <c r="C9" s="52" t="s">
        <v>85</v>
      </c>
      <c r="D9" s="52" t="s">
        <v>94</v>
      </c>
      <c r="E9" s="53">
        <v>2</v>
      </c>
      <c r="F9" s="53">
        <v>0</v>
      </c>
      <c r="G9" s="53">
        <v>2</v>
      </c>
      <c r="H9" s="54"/>
      <c r="I9" s="54"/>
      <c r="J9" s="54"/>
      <c r="K9" s="54"/>
      <c r="L9" s="54"/>
      <c r="M9" s="55"/>
      <c r="N9" s="55"/>
      <c r="O9" s="55"/>
      <c r="P9" s="55"/>
      <c r="Q9" s="55"/>
      <c r="R9" s="55"/>
      <c r="S9" s="54"/>
      <c r="T9" s="54"/>
      <c r="U9" s="55"/>
      <c r="V9" s="54"/>
      <c r="W9" s="55"/>
      <c r="X9" s="54"/>
      <c r="Y9" s="55"/>
      <c r="Z9" s="54"/>
      <c r="AA9" s="55"/>
      <c r="AB9" s="55"/>
      <c r="AC9" s="55"/>
      <c r="AD9" s="55"/>
      <c r="AE9" s="55"/>
      <c r="AF9" s="55"/>
    </row>
    <row r="10" spans="1:32" outlineLevel="1" x14ac:dyDescent="0.25">
      <c r="A10" s="51"/>
      <c r="B10" s="53">
        <v>6019</v>
      </c>
      <c r="C10" s="52" t="s">
        <v>87</v>
      </c>
      <c r="D10" s="52" t="s">
        <v>94</v>
      </c>
      <c r="E10" s="53">
        <v>4</v>
      </c>
      <c r="F10" s="53">
        <v>0</v>
      </c>
      <c r="G10" s="53">
        <v>4</v>
      </c>
      <c r="H10" s="54"/>
      <c r="I10" s="54"/>
      <c r="J10" s="54"/>
      <c r="K10" s="54"/>
      <c r="L10" s="54"/>
      <c r="M10" s="55"/>
      <c r="N10" s="55"/>
      <c r="O10" s="55"/>
      <c r="P10" s="55"/>
      <c r="Q10" s="55"/>
      <c r="R10" s="55"/>
      <c r="S10" s="54"/>
      <c r="T10" s="54"/>
      <c r="U10" s="55"/>
      <c r="V10" s="54"/>
      <c r="W10" s="55"/>
      <c r="X10" s="54"/>
      <c r="Y10" s="55"/>
      <c r="Z10" s="54"/>
      <c r="AA10" s="55"/>
      <c r="AB10" s="55"/>
      <c r="AC10" s="55"/>
      <c r="AD10" s="55"/>
      <c r="AE10" s="55"/>
      <c r="AF10" s="55"/>
    </row>
    <row r="11" spans="1:32" outlineLevel="1" x14ac:dyDescent="0.25">
      <c r="A11" s="51"/>
      <c r="B11" s="53">
        <v>2669</v>
      </c>
      <c r="C11" s="52" t="s">
        <v>82</v>
      </c>
      <c r="D11" s="52" t="s">
        <v>94</v>
      </c>
      <c r="E11" s="53">
        <v>2</v>
      </c>
      <c r="F11" s="53">
        <v>0</v>
      </c>
      <c r="G11" s="53">
        <v>2</v>
      </c>
      <c r="H11" s="54"/>
      <c r="I11" s="54"/>
      <c r="J11" s="54"/>
      <c r="K11" s="54"/>
      <c r="L11" s="54"/>
      <c r="M11" s="55"/>
      <c r="N11" s="55"/>
      <c r="O11" s="55"/>
      <c r="P11" s="55"/>
      <c r="Q11" s="55"/>
      <c r="R11" s="55"/>
      <c r="S11" s="54"/>
      <c r="T11" s="54"/>
      <c r="U11" s="55"/>
      <c r="V11" s="54"/>
      <c r="W11" s="55"/>
      <c r="X11" s="54"/>
      <c r="Y11" s="55"/>
      <c r="Z11" s="54"/>
      <c r="AA11" s="55"/>
      <c r="AB11" s="55"/>
      <c r="AC11" s="55"/>
      <c r="AD11" s="55"/>
      <c r="AE11" s="55"/>
      <c r="AF11" s="55"/>
    </row>
    <row r="12" spans="1:32" outlineLevel="1" x14ac:dyDescent="0.25">
      <c r="A12" s="51"/>
      <c r="B12" s="53">
        <v>4639</v>
      </c>
      <c r="C12" s="52" t="s">
        <v>81</v>
      </c>
      <c r="D12" s="52" t="s">
        <v>94</v>
      </c>
      <c r="E12" s="53">
        <v>14</v>
      </c>
      <c r="F12" s="53">
        <v>0</v>
      </c>
      <c r="G12" s="53">
        <v>14</v>
      </c>
      <c r="H12" s="54"/>
      <c r="I12" s="54"/>
      <c r="J12" s="54"/>
      <c r="K12" s="54"/>
      <c r="L12" s="54"/>
      <c r="M12" s="55"/>
      <c r="N12" s="55"/>
      <c r="O12" s="55"/>
      <c r="P12" s="55"/>
      <c r="Q12" s="55"/>
      <c r="R12" s="55"/>
      <c r="S12" s="54"/>
      <c r="T12" s="54"/>
      <c r="U12" s="55"/>
      <c r="V12" s="54"/>
      <c r="W12" s="55"/>
      <c r="X12" s="54"/>
      <c r="Y12" s="55"/>
      <c r="Z12" s="54"/>
      <c r="AA12" s="55"/>
      <c r="AB12" s="55"/>
      <c r="AC12" s="55"/>
      <c r="AD12" s="55"/>
      <c r="AE12" s="55"/>
      <c r="AF12" s="55"/>
    </row>
    <row r="13" spans="1:32" ht="15.75" customHeight="1" x14ac:dyDescent="0.25">
      <c r="A13" s="68">
        <v>2</v>
      </c>
      <c r="B13" s="69">
        <v>478488</v>
      </c>
      <c r="C13" s="68" t="s">
        <v>95</v>
      </c>
      <c r="D13" s="68"/>
      <c r="E13" s="69">
        <v>14</v>
      </c>
      <c r="F13" s="69">
        <v>4</v>
      </c>
      <c r="G13" s="69">
        <v>18</v>
      </c>
      <c r="H13" s="70"/>
      <c r="I13" s="70"/>
      <c r="J13" s="70"/>
      <c r="K13" s="70"/>
      <c r="L13" s="70"/>
      <c r="M13" s="71"/>
      <c r="N13" s="71"/>
      <c r="O13" s="71"/>
      <c r="P13" s="71"/>
      <c r="Q13" s="71"/>
      <c r="R13" s="71"/>
      <c r="S13" s="70"/>
      <c r="T13" s="70"/>
      <c r="U13" s="71"/>
      <c r="V13" s="70"/>
      <c r="W13" s="71"/>
      <c r="X13" s="70"/>
      <c r="Y13" s="71"/>
      <c r="Z13" s="70"/>
      <c r="AA13" s="71"/>
      <c r="AB13" s="71"/>
      <c r="AC13" s="71"/>
      <c r="AD13" s="71"/>
      <c r="AE13" s="71"/>
      <c r="AF13" s="71"/>
    </row>
    <row r="14" spans="1:32" outlineLevel="1" x14ac:dyDescent="0.25">
      <c r="A14" s="51"/>
      <c r="B14" s="53">
        <v>2703</v>
      </c>
      <c r="C14" s="52" t="s">
        <v>84</v>
      </c>
      <c r="D14" s="52" t="s">
        <v>95</v>
      </c>
      <c r="E14" s="53">
        <v>5</v>
      </c>
      <c r="F14" s="53">
        <v>0</v>
      </c>
      <c r="G14" s="53">
        <v>5</v>
      </c>
      <c r="H14" s="54"/>
      <c r="I14" s="54"/>
      <c r="J14" s="54"/>
      <c r="K14" s="54"/>
      <c r="L14" s="54"/>
      <c r="M14" s="55"/>
      <c r="N14" s="55"/>
      <c r="O14" s="55"/>
      <c r="P14" s="55"/>
      <c r="Q14" s="55"/>
      <c r="R14" s="55"/>
      <c r="S14" s="54"/>
      <c r="T14" s="54"/>
      <c r="U14" s="55"/>
      <c r="V14" s="54"/>
      <c r="W14" s="55"/>
      <c r="X14" s="54"/>
      <c r="Y14" s="55"/>
      <c r="Z14" s="54"/>
      <c r="AA14" s="55"/>
      <c r="AB14" s="55"/>
      <c r="AC14" s="55"/>
      <c r="AD14" s="55"/>
      <c r="AE14" s="55"/>
      <c r="AF14" s="55"/>
    </row>
    <row r="15" spans="1:32" outlineLevel="1" x14ac:dyDescent="0.25">
      <c r="A15" s="51"/>
      <c r="B15" s="53">
        <v>2674</v>
      </c>
      <c r="C15" s="52" t="s">
        <v>85</v>
      </c>
      <c r="D15" s="52" t="s">
        <v>95</v>
      </c>
      <c r="E15" s="53">
        <v>1</v>
      </c>
      <c r="F15" s="53">
        <v>0</v>
      </c>
      <c r="G15" s="53">
        <v>1</v>
      </c>
      <c r="H15" s="54"/>
      <c r="I15" s="54"/>
      <c r="J15" s="54"/>
      <c r="K15" s="54"/>
      <c r="L15" s="54"/>
      <c r="M15" s="55"/>
      <c r="N15" s="55"/>
      <c r="O15" s="55"/>
      <c r="P15" s="55"/>
      <c r="Q15" s="55"/>
      <c r="R15" s="55"/>
      <c r="S15" s="54"/>
      <c r="T15" s="54"/>
      <c r="U15" s="55"/>
      <c r="V15" s="54"/>
      <c r="W15" s="55"/>
      <c r="X15" s="54"/>
      <c r="Y15" s="55"/>
      <c r="Z15" s="54"/>
      <c r="AA15" s="55"/>
      <c r="AB15" s="55"/>
      <c r="AC15" s="55"/>
      <c r="AD15" s="55"/>
      <c r="AE15" s="55"/>
      <c r="AF15" s="55"/>
    </row>
    <row r="16" spans="1:32" outlineLevel="1" x14ac:dyDescent="0.25">
      <c r="A16" s="51"/>
      <c r="B16" s="53">
        <v>6019</v>
      </c>
      <c r="C16" s="52" t="s">
        <v>87</v>
      </c>
      <c r="D16" s="52" t="s">
        <v>95</v>
      </c>
      <c r="E16" s="53">
        <v>0</v>
      </c>
      <c r="F16" s="53">
        <v>4</v>
      </c>
      <c r="G16" s="53">
        <v>4</v>
      </c>
      <c r="H16" s="54"/>
      <c r="I16" s="54"/>
      <c r="J16" s="54"/>
      <c r="K16" s="54"/>
      <c r="L16" s="54"/>
      <c r="M16" s="55"/>
      <c r="N16" s="55"/>
      <c r="O16" s="55"/>
      <c r="P16" s="55"/>
      <c r="Q16" s="55"/>
      <c r="R16" s="55"/>
      <c r="S16" s="54"/>
      <c r="T16" s="54"/>
      <c r="U16" s="55"/>
      <c r="V16" s="54"/>
      <c r="W16" s="55"/>
      <c r="X16" s="54"/>
      <c r="Y16" s="55"/>
      <c r="Z16" s="54"/>
      <c r="AA16" s="55"/>
      <c r="AB16" s="55"/>
      <c r="AC16" s="55"/>
      <c r="AD16" s="55"/>
      <c r="AE16" s="55"/>
      <c r="AF16" s="55"/>
    </row>
    <row r="17" spans="1:32" outlineLevel="1" x14ac:dyDescent="0.25">
      <c r="A17" s="51"/>
      <c r="B17" s="53">
        <v>2669</v>
      </c>
      <c r="C17" s="52" t="s">
        <v>82</v>
      </c>
      <c r="D17" s="52" t="s">
        <v>95</v>
      </c>
      <c r="E17" s="53">
        <v>1</v>
      </c>
      <c r="F17" s="53">
        <v>0</v>
      </c>
      <c r="G17" s="53">
        <v>1</v>
      </c>
      <c r="H17" s="54"/>
      <c r="I17" s="54"/>
      <c r="J17" s="54"/>
      <c r="K17" s="54"/>
      <c r="L17" s="54"/>
      <c r="M17" s="55"/>
      <c r="N17" s="55"/>
      <c r="O17" s="55"/>
      <c r="P17" s="55"/>
      <c r="Q17" s="55"/>
      <c r="R17" s="55"/>
      <c r="S17" s="54"/>
      <c r="T17" s="54"/>
      <c r="U17" s="55"/>
      <c r="V17" s="54"/>
      <c r="W17" s="55"/>
      <c r="X17" s="54"/>
      <c r="Y17" s="55"/>
      <c r="Z17" s="54"/>
      <c r="AA17" s="55"/>
      <c r="AB17" s="55"/>
      <c r="AC17" s="55"/>
      <c r="AD17" s="55"/>
      <c r="AE17" s="55"/>
      <c r="AF17" s="55"/>
    </row>
    <row r="18" spans="1:32" outlineLevel="1" x14ac:dyDescent="0.25">
      <c r="A18" s="51"/>
      <c r="B18" s="53">
        <v>4639</v>
      </c>
      <c r="C18" s="52" t="s">
        <v>81</v>
      </c>
      <c r="D18" s="52" t="s">
        <v>95</v>
      </c>
      <c r="E18" s="53">
        <v>7</v>
      </c>
      <c r="F18" s="53">
        <v>0</v>
      </c>
      <c r="G18" s="53">
        <v>7</v>
      </c>
      <c r="H18" s="54"/>
      <c r="I18" s="54"/>
      <c r="J18" s="54"/>
      <c r="K18" s="54"/>
      <c r="L18" s="54"/>
      <c r="M18" s="55"/>
      <c r="N18" s="55"/>
      <c r="O18" s="55"/>
      <c r="P18" s="55"/>
      <c r="Q18" s="55"/>
      <c r="R18" s="55"/>
      <c r="S18" s="54"/>
      <c r="T18" s="54"/>
      <c r="U18" s="55"/>
      <c r="V18" s="54"/>
      <c r="W18" s="55"/>
      <c r="X18" s="54"/>
      <c r="Y18" s="55"/>
      <c r="Z18" s="54"/>
      <c r="AA18" s="55"/>
      <c r="AB18" s="55"/>
      <c r="AC18" s="55"/>
      <c r="AD18" s="55"/>
      <c r="AE18" s="55"/>
      <c r="AF18" s="55"/>
    </row>
    <row r="19" spans="1:32" ht="15.75" customHeight="1" x14ac:dyDescent="0.25">
      <c r="A19" s="68">
        <v>3</v>
      </c>
      <c r="B19" s="69">
        <v>476999</v>
      </c>
      <c r="C19" s="68" t="s">
        <v>96</v>
      </c>
      <c r="D19" s="68"/>
      <c r="E19" s="69">
        <v>30</v>
      </c>
      <c r="F19" s="69">
        <v>7</v>
      </c>
      <c r="G19" s="69">
        <v>37</v>
      </c>
      <c r="H19" s="70"/>
      <c r="I19" s="70"/>
      <c r="J19" s="70"/>
      <c r="K19" s="70"/>
      <c r="L19" s="70"/>
      <c r="M19" s="71"/>
      <c r="N19" s="71"/>
      <c r="O19" s="71"/>
      <c r="P19" s="71"/>
      <c r="Q19" s="71"/>
      <c r="R19" s="71"/>
      <c r="S19" s="70"/>
      <c r="T19" s="70"/>
      <c r="U19" s="71"/>
      <c r="V19" s="70"/>
      <c r="W19" s="71"/>
      <c r="X19" s="70"/>
      <c r="Y19" s="71"/>
      <c r="Z19" s="70"/>
      <c r="AA19" s="71"/>
      <c r="AB19" s="71"/>
      <c r="AC19" s="71"/>
      <c r="AD19" s="71"/>
      <c r="AE19" s="71"/>
      <c r="AF19" s="71"/>
    </row>
    <row r="20" spans="1:32" outlineLevel="1" x14ac:dyDescent="0.25">
      <c r="A20" s="51"/>
      <c r="B20" s="53">
        <v>4540</v>
      </c>
      <c r="C20" s="52" t="s">
        <v>83</v>
      </c>
      <c r="D20" s="52" t="s">
        <v>96</v>
      </c>
      <c r="E20" s="53">
        <v>11</v>
      </c>
      <c r="F20" s="53">
        <v>7</v>
      </c>
      <c r="G20" s="53">
        <v>18</v>
      </c>
      <c r="H20" s="54"/>
      <c r="I20" s="54"/>
      <c r="J20" s="54"/>
      <c r="K20" s="54"/>
      <c r="L20" s="54"/>
      <c r="M20" s="55"/>
      <c r="N20" s="55"/>
      <c r="O20" s="55"/>
      <c r="P20" s="55"/>
      <c r="Q20" s="55"/>
      <c r="R20" s="55"/>
      <c r="S20" s="54"/>
      <c r="T20" s="54"/>
      <c r="U20" s="55"/>
      <c r="V20" s="54"/>
      <c r="W20" s="55"/>
      <c r="X20" s="54"/>
      <c r="Y20" s="55"/>
      <c r="Z20" s="54"/>
      <c r="AA20" s="55"/>
      <c r="AB20" s="55"/>
      <c r="AC20" s="55"/>
      <c r="AD20" s="55"/>
      <c r="AE20" s="55"/>
      <c r="AF20" s="55"/>
    </row>
    <row r="21" spans="1:32" outlineLevel="1" x14ac:dyDescent="0.25">
      <c r="A21" s="51"/>
      <c r="B21" s="53">
        <v>2669</v>
      </c>
      <c r="C21" s="52" t="s">
        <v>82</v>
      </c>
      <c r="D21" s="52" t="s">
        <v>96</v>
      </c>
      <c r="E21" s="53">
        <v>19</v>
      </c>
      <c r="F21" s="53">
        <v>0</v>
      </c>
      <c r="G21" s="53">
        <v>19</v>
      </c>
      <c r="H21" s="54"/>
      <c r="I21" s="54"/>
      <c r="J21" s="54"/>
      <c r="K21" s="54"/>
      <c r="L21" s="54"/>
      <c r="M21" s="55"/>
      <c r="N21" s="55"/>
      <c r="O21" s="55"/>
      <c r="P21" s="55"/>
      <c r="Q21" s="55"/>
      <c r="R21" s="55"/>
      <c r="S21" s="54"/>
      <c r="T21" s="54"/>
      <c r="U21" s="55"/>
      <c r="V21" s="54"/>
      <c r="W21" s="55"/>
      <c r="X21" s="54"/>
      <c r="Y21" s="55"/>
      <c r="Z21" s="54"/>
      <c r="AA21" s="55"/>
      <c r="AB21" s="55"/>
      <c r="AC21" s="55"/>
      <c r="AD21" s="55"/>
      <c r="AE21" s="55"/>
      <c r="AF21" s="55"/>
    </row>
    <row r="22" spans="1:32" ht="15.75" customHeight="1" x14ac:dyDescent="0.25">
      <c r="A22" s="68">
        <v>4</v>
      </c>
      <c r="B22" s="69">
        <v>476998</v>
      </c>
      <c r="C22" s="68" t="s">
        <v>97</v>
      </c>
      <c r="D22" s="68"/>
      <c r="E22" s="69">
        <v>20</v>
      </c>
      <c r="F22" s="69">
        <v>30</v>
      </c>
      <c r="G22" s="69">
        <v>50</v>
      </c>
      <c r="H22" s="70"/>
      <c r="I22" s="70"/>
      <c r="J22" s="70"/>
      <c r="K22" s="70"/>
      <c r="L22" s="70"/>
      <c r="M22" s="71"/>
      <c r="N22" s="71"/>
      <c r="O22" s="71"/>
      <c r="P22" s="71"/>
      <c r="Q22" s="71"/>
      <c r="R22" s="71"/>
      <c r="S22" s="70"/>
      <c r="T22" s="70"/>
      <c r="U22" s="71"/>
      <c r="V22" s="70"/>
      <c r="W22" s="71"/>
      <c r="X22" s="70"/>
      <c r="Y22" s="71"/>
      <c r="Z22" s="70"/>
      <c r="AA22" s="71"/>
      <c r="AB22" s="71"/>
      <c r="AC22" s="71"/>
      <c r="AD22" s="71"/>
      <c r="AE22" s="71"/>
      <c r="AF22" s="71"/>
    </row>
    <row r="23" spans="1:32" outlineLevel="1" x14ac:dyDescent="0.25">
      <c r="A23" s="51"/>
      <c r="B23" s="53">
        <v>2703</v>
      </c>
      <c r="C23" s="52" t="s">
        <v>84</v>
      </c>
      <c r="D23" s="52" t="s">
        <v>97</v>
      </c>
      <c r="E23" s="53">
        <v>9</v>
      </c>
      <c r="F23" s="53">
        <v>30</v>
      </c>
      <c r="G23" s="53">
        <v>39</v>
      </c>
      <c r="H23" s="54"/>
      <c r="I23" s="54"/>
      <c r="J23" s="54"/>
      <c r="K23" s="54"/>
      <c r="L23" s="54"/>
      <c r="M23" s="55"/>
      <c r="N23" s="55"/>
      <c r="O23" s="55"/>
      <c r="P23" s="55"/>
      <c r="Q23" s="55"/>
      <c r="R23" s="55"/>
      <c r="S23" s="54"/>
      <c r="T23" s="54"/>
      <c r="U23" s="55"/>
      <c r="V23" s="54"/>
      <c r="W23" s="55"/>
      <c r="X23" s="54"/>
      <c r="Y23" s="55"/>
      <c r="Z23" s="54"/>
      <c r="AA23" s="55"/>
      <c r="AB23" s="55"/>
      <c r="AC23" s="55"/>
      <c r="AD23" s="55"/>
      <c r="AE23" s="55"/>
      <c r="AF23" s="55"/>
    </row>
    <row r="24" spans="1:32" outlineLevel="1" x14ac:dyDescent="0.25">
      <c r="A24" s="51"/>
      <c r="B24" s="53">
        <v>4639</v>
      </c>
      <c r="C24" s="52" t="s">
        <v>81</v>
      </c>
      <c r="D24" s="52" t="s">
        <v>97</v>
      </c>
      <c r="E24" s="53">
        <v>11</v>
      </c>
      <c r="F24" s="53">
        <v>0</v>
      </c>
      <c r="G24" s="53">
        <v>11</v>
      </c>
      <c r="H24" s="54"/>
      <c r="I24" s="54"/>
      <c r="J24" s="54"/>
      <c r="K24" s="54"/>
      <c r="L24" s="54"/>
      <c r="M24" s="55"/>
      <c r="N24" s="55"/>
      <c r="O24" s="55"/>
      <c r="P24" s="55"/>
      <c r="Q24" s="55"/>
      <c r="R24" s="55"/>
      <c r="S24" s="54"/>
      <c r="T24" s="54"/>
      <c r="U24" s="55"/>
      <c r="V24" s="54"/>
      <c r="W24" s="55"/>
      <c r="X24" s="54"/>
      <c r="Y24" s="55"/>
      <c r="Z24" s="54"/>
      <c r="AA24" s="55"/>
      <c r="AB24" s="55"/>
      <c r="AC24" s="55"/>
      <c r="AD24" s="55"/>
      <c r="AE24" s="55"/>
      <c r="AF24" s="55"/>
    </row>
    <row r="25" spans="1:32" ht="15.75" customHeight="1" x14ac:dyDescent="0.25">
      <c r="A25" s="68">
        <v>5</v>
      </c>
      <c r="B25" s="69">
        <v>478489</v>
      </c>
      <c r="C25" s="68" t="s">
        <v>98</v>
      </c>
      <c r="D25" s="68"/>
      <c r="E25" s="69">
        <v>0</v>
      </c>
      <c r="F25" s="69">
        <v>46</v>
      </c>
      <c r="G25" s="69">
        <v>46</v>
      </c>
      <c r="H25" s="70"/>
      <c r="I25" s="70"/>
      <c r="J25" s="70"/>
      <c r="K25" s="70"/>
      <c r="L25" s="70"/>
      <c r="M25" s="71"/>
      <c r="N25" s="71"/>
      <c r="O25" s="71"/>
      <c r="P25" s="71"/>
      <c r="Q25" s="71"/>
      <c r="R25" s="71"/>
      <c r="S25" s="70"/>
      <c r="T25" s="70"/>
      <c r="U25" s="71"/>
      <c r="V25" s="70"/>
      <c r="W25" s="71"/>
      <c r="X25" s="70"/>
      <c r="Y25" s="71"/>
      <c r="Z25" s="70"/>
      <c r="AA25" s="71"/>
      <c r="AB25" s="71"/>
      <c r="AC25" s="71"/>
      <c r="AD25" s="71"/>
      <c r="AE25" s="71"/>
      <c r="AF25" s="71"/>
    </row>
    <row r="26" spans="1:32" outlineLevel="1" x14ac:dyDescent="0.25">
      <c r="A26" s="51"/>
      <c r="B26" s="53">
        <v>3402</v>
      </c>
      <c r="C26" s="52" t="s">
        <v>86</v>
      </c>
      <c r="D26" s="52" t="s">
        <v>98</v>
      </c>
      <c r="E26" s="53">
        <v>0</v>
      </c>
      <c r="F26" s="53">
        <v>46</v>
      </c>
      <c r="G26" s="53">
        <v>46</v>
      </c>
      <c r="H26" s="54"/>
      <c r="I26" s="54"/>
      <c r="J26" s="54"/>
      <c r="K26" s="54"/>
      <c r="L26" s="54"/>
      <c r="M26" s="55"/>
      <c r="N26" s="55"/>
      <c r="O26" s="55"/>
      <c r="P26" s="55"/>
      <c r="Q26" s="55"/>
      <c r="R26" s="55"/>
      <c r="S26" s="54"/>
      <c r="T26" s="54"/>
      <c r="U26" s="55"/>
      <c r="V26" s="54"/>
      <c r="W26" s="55"/>
      <c r="X26" s="54"/>
      <c r="Y26" s="55"/>
      <c r="Z26" s="54"/>
      <c r="AA26" s="55"/>
      <c r="AB26" s="55"/>
      <c r="AC26" s="55"/>
      <c r="AD26" s="55"/>
      <c r="AE26" s="55"/>
      <c r="AF26" s="55"/>
    </row>
    <row r="27" spans="1:32" ht="15.75" customHeight="1" x14ac:dyDescent="0.25">
      <c r="A27" s="68">
        <v>6</v>
      </c>
      <c r="B27" s="69">
        <v>479375</v>
      </c>
      <c r="C27" s="68" t="s">
        <v>99</v>
      </c>
      <c r="D27" s="68"/>
      <c r="E27" s="69">
        <v>18</v>
      </c>
      <c r="F27" s="69">
        <v>28</v>
      </c>
      <c r="G27" s="69">
        <v>46</v>
      </c>
      <c r="H27" s="70"/>
      <c r="I27" s="70"/>
      <c r="J27" s="70"/>
      <c r="K27" s="70"/>
      <c r="L27" s="70"/>
      <c r="M27" s="71"/>
      <c r="N27" s="71"/>
      <c r="O27" s="71"/>
      <c r="P27" s="71"/>
      <c r="Q27" s="71"/>
      <c r="R27" s="71"/>
      <c r="S27" s="70"/>
      <c r="T27" s="70"/>
      <c r="U27" s="71"/>
      <c r="V27" s="70"/>
      <c r="W27" s="71"/>
      <c r="X27" s="70"/>
      <c r="Y27" s="71"/>
      <c r="Z27" s="70"/>
      <c r="AA27" s="71"/>
      <c r="AB27" s="71"/>
      <c r="AC27" s="71"/>
      <c r="AD27" s="71"/>
      <c r="AE27" s="71"/>
      <c r="AF27" s="71"/>
    </row>
    <row r="28" spans="1:32" outlineLevel="1" x14ac:dyDescent="0.25">
      <c r="A28" s="51"/>
      <c r="B28" s="53">
        <v>6019</v>
      </c>
      <c r="C28" s="52" t="s">
        <v>87</v>
      </c>
      <c r="D28" s="52" t="s">
        <v>99</v>
      </c>
      <c r="E28" s="53">
        <v>18</v>
      </c>
      <c r="F28" s="53">
        <v>28</v>
      </c>
      <c r="G28" s="53">
        <v>46</v>
      </c>
      <c r="H28" s="54"/>
      <c r="I28" s="54"/>
      <c r="J28" s="54"/>
      <c r="K28" s="54"/>
      <c r="L28" s="54"/>
      <c r="M28" s="55"/>
      <c r="N28" s="55"/>
      <c r="O28" s="55"/>
      <c r="P28" s="55"/>
      <c r="Q28" s="55"/>
      <c r="R28" s="55"/>
      <c r="S28" s="54"/>
      <c r="T28" s="54"/>
      <c r="U28" s="55"/>
      <c r="V28" s="54"/>
      <c r="W28" s="55"/>
      <c r="X28" s="54"/>
      <c r="Y28" s="55"/>
      <c r="Z28" s="54"/>
      <c r="AA28" s="55"/>
      <c r="AB28" s="55"/>
      <c r="AC28" s="55"/>
      <c r="AD28" s="55"/>
      <c r="AE28" s="55"/>
      <c r="AF28" s="55"/>
    </row>
    <row r="29" spans="1:32" ht="15.75" customHeight="1" x14ac:dyDescent="0.25">
      <c r="A29" s="68">
        <v>7</v>
      </c>
      <c r="B29" s="69">
        <v>476901</v>
      </c>
      <c r="C29" s="68" t="s">
        <v>100</v>
      </c>
      <c r="D29" s="68"/>
      <c r="E29" s="69">
        <v>41</v>
      </c>
      <c r="F29" s="69">
        <v>11</v>
      </c>
      <c r="G29" s="69">
        <v>52</v>
      </c>
      <c r="H29" s="70"/>
      <c r="I29" s="70"/>
      <c r="J29" s="70"/>
      <c r="K29" s="70"/>
      <c r="L29" s="70"/>
      <c r="M29" s="71"/>
      <c r="N29" s="71"/>
      <c r="O29" s="71"/>
      <c r="P29" s="71"/>
      <c r="Q29" s="71"/>
      <c r="R29" s="71"/>
      <c r="S29" s="70"/>
      <c r="T29" s="70"/>
      <c r="U29" s="71"/>
      <c r="V29" s="70"/>
      <c r="W29" s="71"/>
      <c r="X29" s="70"/>
      <c r="Y29" s="71"/>
      <c r="Z29" s="70"/>
      <c r="AA29" s="71"/>
      <c r="AB29" s="71"/>
      <c r="AC29" s="71"/>
      <c r="AD29" s="71"/>
      <c r="AE29" s="71"/>
      <c r="AF29" s="71"/>
    </row>
    <row r="30" spans="1:32" outlineLevel="1" x14ac:dyDescent="0.25">
      <c r="A30" s="51"/>
      <c r="B30" s="53">
        <v>2703</v>
      </c>
      <c r="C30" s="52" t="s">
        <v>84</v>
      </c>
      <c r="D30" s="52" t="s">
        <v>100</v>
      </c>
      <c r="E30" s="53">
        <v>32</v>
      </c>
      <c r="F30" s="53">
        <v>11</v>
      </c>
      <c r="G30" s="53">
        <v>43</v>
      </c>
      <c r="H30" s="54"/>
      <c r="I30" s="54"/>
      <c r="J30" s="54"/>
      <c r="K30" s="54"/>
      <c r="L30" s="54"/>
      <c r="M30" s="55"/>
      <c r="N30" s="55"/>
      <c r="O30" s="55"/>
      <c r="P30" s="55"/>
      <c r="Q30" s="55"/>
      <c r="R30" s="55"/>
      <c r="S30" s="54"/>
      <c r="T30" s="54"/>
      <c r="U30" s="55"/>
      <c r="V30" s="54"/>
      <c r="W30" s="55"/>
      <c r="X30" s="54"/>
      <c r="Y30" s="55"/>
      <c r="Z30" s="54"/>
      <c r="AA30" s="55"/>
      <c r="AB30" s="55"/>
      <c r="AC30" s="55"/>
      <c r="AD30" s="55"/>
      <c r="AE30" s="55"/>
      <c r="AF30" s="55"/>
    </row>
    <row r="31" spans="1:32" outlineLevel="1" x14ac:dyDescent="0.25">
      <c r="A31" s="51"/>
      <c r="B31" s="53">
        <v>2674</v>
      </c>
      <c r="C31" s="52" t="s">
        <v>85</v>
      </c>
      <c r="D31" s="52" t="s">
        <v>100</v>
      </c>
      <c r="E31" s="53">
        <v>9</v>
      </c>
      <c r="F31" s="53">
        <v>0</v>
      </c>
      <c r="G31" s="53">
        <v>9</v>
      </c>
      <c r="H31" s="54"/>
      <c r="I31" s="54"/>
      <c r="J31" s="54"/>
      <c r="K31" s="54"/>
      <c r="L31" s="54"/>
      <c r="M31" s="55"/>
      <c r="N31" s="55"/>
      <c r="O31" s="55"/>
      <c r="P31" s="55"/>
      <c r="Q31" s="55"/>
      <c r="R31" s="55"/>
      <c r="S31" s="54"/>
      <c r="T31" s="54"/>
      <c r="U31" s="55"/>
      <c r="V31" s="54"/>
      <c r="W31" s="55"/>
      <c r="X31" s="54"/>
      <c r="Y31" s="55"/>
      <c r="Z31" s="54"/>
      <c r="AA31" s="55"/>
      <c r="AB31" s="55"/>
      <c r="AC31" s="55"/>
      <c r="AD31" s="55"/>
      <c r="AE31" s="55"/>
      <c r="AF31" s="55"/>
    </row>
    <row r="32" spans="1:32" ht="15.75" customHeight="1" x14ac:dyDescent="0.25">
      <c r="A32" s="68">
        <v>8</v>
      </c>
      <c r="B32" s="69">
        <v>478231</v>
      </c>
      <c r="C32" s="68" t="s">
        <v>101</v>
      </c>
      <c r="D32" s="68"/>
      <c r="E32" s="69">
        <v>24</v>
      </c>
      <c r="F32" s="69">
        <v>16</v>
      </c>
      <c r="G32" s="69">
        <v>40</v>
      </c>
      <c r="H32" s="70"/>
      <c r="I32" s="70"/>
      <c r="J32" s="70"/>
      <c r="K32" s="70"/>
      <c r="L32" s="70"/>
      <c r="M32" s="71"/>
      <c r="N32" s="71"/>
      <c r="O32" s="71"/>
      <c r="P32" s="71"/>
      <c r="Q32" s="71"/>
      <c r="R32" s="71"/>
      <c r="S32" s="70"/>
      <c r="T32" s="70"/>
      <c r="U32" s="71"/>
      <c r="V32" s="70"/>
      <c r="W32" s="71"/>
      <c r="X32" s="70"/>
      <c r="Y32" s="71"/>
      <c r="Z32" s="70"/>
      <c r="AA32" s="71"/>
      <c r="AB32" s="71"/>
      <c r="AC32" s="71"/>
      <c r="AD32" s="71"/>
      <c r="AE32" s="71"/>
      <c r="AF32" s="71"/>
    </row>
    <row r="33" spans="1:32" outlineLevel="1" x14ac:dyDescent="0.25">
      <c r="A33" s="51"/>
      <c r="B33" s="53">
        <v>4540</v>
      </c>
      <c r="C33" s="52" t="s">
        <v>83</v>
      </c>
      <c r="D33" s="52" t="s">
        <v>101</v>
      </c>
      <c r="E33" s="53">
        <v>21</v>
      </c>
      <c r="F33" s="53">
        <v>16</v>
      </c>
      <c r="G33" s="53">
        <v>37</v>
      </c>
      <c r="H33" s="54"/>
      <c r="I33" s="54"/>
      <c r="J33" s="54"/>
      <c r="K33" s="54"/>
      <c r="L33" s="54"/>
      <c r="M33" s="55"/>
      <c r="N33" s="55"/>
      <c r="O33" s="55"/>
      <c r="P33" s="55"/>
      <c r="Q33" s="55"/>
      <c r="R33" s="55"/>
      <c r="S33" s="54"/>
      <c r="T33" s="54"/>
      <c r="U33" s="55"/>
      <c r="V33" s="54"/>
      <c r="W33" s="55"/>
      <c r="X33" s="54"/>
      <c r="Y33" s="55"/>
      <c r="Z33" s="54"/>
      <c r="AA33" s="55"/>
      <c r="AB33" s="55"/>
      <c r="AC33" s="55"/>
      <c r="AD33" s="55"/>
      <c r="AE33" s="55"/>
      <c r="AF33" s="55"/>
    </row>
    <row r="34" spans="1:32" outlineLevel="1" x14ac:dyDescent="0.25">
      <c r="A34" s="51"/>
      <c r="B34" s="53">
        <v>2669</v>
      </c>
      <c r="C34" s="52" t="s">
        <v>82</v>
      </c>
      <c r="D34" s="52" t="s">
        <v>101</v>
      </c>
      <c r="E34" s="53">
        <v>3</v>
      </c>
      <c r="F34" s="53">
        <v>0</v>
      </c>
      <c r="G34" s="53">
        <v>3</v>
      </c>
      <c r="H34" s="54"/>
      <c r="I34" s="54"/>
      <c r="J34" s="54"/>
      <c r="K34" s="54"/>
      <c r="L34" s="54"/>
      <c r="M34" s="55"/>
      <c r="N34" s="55"/>
      <c r="O34" s="55"/>
      <c r="P34" s="55"/>
      <c r="Q34" s="55"/>
      <c r="R34" s="55"/>
      <c r="S34" s="54"/>
      <c r="T34" s="54"/>
      <c r="U34" s="55"/>
      <c r="V34" s="54"/>
      <c r="W34" s="55"/>
      <c r="X34" s="54"/>
      <c r="Y34" s="55"/>
      <c r="Z34" s="54"/>
      <c r="AA34" s="55"/>
      <c r="AB34" s="55"/>
      <c r="AC34" s="55"/>
      <c r="AD34" s="55"/>
      <c r="AE34" s="55"/>
      <c r="AF34" s="55"/>
    </row>
    <row r="35" spans="1:32" ht="15.75" customHeight="1" x14ac:dyDescent="0.25">
      <c r="A35" s="68">
        <v>9</v>
      </c>
      <c r="B35" s="69">
        <v>476902</v>
      </c>
      <c r="C35" s="68" t="s">
        <v>102</v>
      </c>
      <c r="D35" s="68"/>
      <c r="E35" s="69">
        <v>14</v>
      </c>
      <c r="F35" s="69">
        <v>48</v>
      </c>
      <c r="G35" s="69">
        <v>62</v>
      </c>
      <c r="H35" s="70"/>
      <c r="I35" s="70"/>
      <c r="J35" s="70"/>
      <c r="K35" s="70"/>
      <c r="L35" s="70"/>
      <c r="M35" s="71"/>
      <c r="N35" s="71"/>
      <c r="O35" s="71"/>
      <c r="P35" s="71"/>
      <c r="Q35" s="71"/>
      <c r="R35" s="71"/>
      <c r="S35" s="70"/>
      <c r="T35" s="70"/>
      <c r="U35" s="71"/>
      <c r="V35" s="70"/>
      <c r="W35" s="71"/>
      <c r="X35" s="70"/>
      <c r="Y35" s="71"/>
      <c r="Z35" s="70"/>
      <c r="AA35" s="71"/>
      <c r="AB35" s="71"/>
      <c r="AC35" s="71"/>
      <c r="AD35" s="71"/>
      <c r="AE35" s="71"/>
      <c r="AF35" s="71"/>
    </row>
    <row r="36" spans="1:32" outlineLevel="1" x14ac:dyDescent="0.25">
      <c r="A36" s="51"/>
      <c r="B36" s="53">
        <v>6019</v>
      </c>
      <c r="C36" s="52" t="s">
        <v>87</v>
      </c>
      <c r="D36" s="52" t="s">
        <v>102</v>
      </c>
      <c r="E36" s="53">
        <v>14</v>
      </c>
      <c r="F36" s="53">
        <v>48</v>
      </c>
      <c r="G36" s="53">
        <v>62</v>
      </c>
      <c r="H36" s="54"/>
      <c r="I36" s="54"/>
      <c r="J36" s="54"/>
      <c r="K36" s="54"/>
      <c r="L36" s="54"/>
      <c r="M36" s="55"/>
      <c r="N36" s="55"/>
      <c r="O36" s="55"/>
      <c r="P36" s="55"/>
      <c r="Q36" s="55"/>
      <c r="R36" s="55"/>
      <c r="S36" s="54"/>
      <c r="T36" s="54"/>
      <c r="U36" s="55"/>
      <c r="V36" s="54"/>
      <c r="W36" s="55"/>
      <c r="X36" s="54"/>
      <c r="Y36" s="55"/>
      <c r="Z36" s="54"/>
      <c r="AA36" s="55"/>
      <c r="AB36" s="55"/>
      <c r="AC36" s="55"/>
      <c r="AD36" s="55"/>
      <c r="AE36" s="55"/>
      <c r="AF36" s="55"/>
    </row>
    <row r="37" spans="1:32" ht="15.75" customHeight="1" x14ac:dyDescent="0.25">
      <c r="A37" s="68">
        <v>10</v>
      </c>
      <c r="B37" s="69">
        <v>476735</v>
      </c>
      <c r="C37" s="68" t="s">
        <v>103</v>
      </c>
      <c r="D37" s="68"/>
      <c r="E37" s="69">
        <v>29</v>
      </c>
      <c r="F37" s="69">
        <v>5</v>
      </c>
      <c r="G37" s="69">
        <v>34</v>
      </c>
      <c r="H37" s="70"/>
      <c r="I37" s="70"/>
      <c r="J37" s="70"/>
      <c r="K37" s="70"/>
      <c r="L37" s="70"/>
      <c r="M37" s="71"/>
      <c r="N37" s="71"/>
      <c r="O37" s="71"/>
      <c r="P37" s="71"/>
      <c r="Q37" s="71"/>
      <c r="R37" s="71"/>
      <c r="S37" s="70"/>
      <c r="T37" s="70"/>
      <c r="U37" s="71"/>
      <c r="V37" s="70"/>
      <c r="W37" s="71"/>
      <c r="X37" s="70"/>
      <c r="Y37" s="71"/>
      <c r="Z37" s="70"/>
      <c r="AA37" s="71"/>
      <c r="AB37" s="71"/>
      <c r="AC37" s="71"/>
      <c r="AD37" s="71"/>
      <c r="AE37" s="71"/>
      <c r="AF37" s="71"/>
    </row>
    <row r="38" spans="1:32" outlineLevel="1" x14ac:dyDescent="0.25">
      <c r="A38" s="51"/>
      <c r="B38" s="53">
        <v>2703</v>
      </c>
      <c r="C38" s="52" t="s">
        <v>84</v>
      </c>
      <c r="D38" s="52" t="s">
        <v>103</v>
      </c>
      <c r="E38" s="53">
        <v>3</v>
      </c>
      <c r="F38" s="53">
        <v>0</v>
      </c>
      <c r="G38" s="53">
        <v>3</v>
      </c>
      <c r="H38" s="54"/>
      <c r="I38" s="54"/>
      <c r="J38" s="54"/>
      <c r="K38" s="54"/>
      <c r="L38" s="54"/>
      <c r="M38" s="55"/>
      <c r="N38" s="55"/>
      <c r="O38" s="55"/>
      <c r="P38" s="55"/>
      <c r="Q38" s="55"/>
      <c r="R38" s="55"/>
      <c r="S38" s="54"/>
      <c r="T38" s="54"/>
      <c r="U38" s="55"/>
      <c r="V38" s="54"/>
      <c r="W38" s="55"/>
      <c r="X38" s="54"/>
      <c r="Y38" s="55"/>
      <c r="Z38" s="54"/>
      <c r="AA38" s="55"/>
      <c r="AB38" s="55"/>
      <c r="AC38" s="55"/>
      <c r="AD38" s="55"/>
      <c r="AE38" s="55"/>
      <c r="AF38" s="55"/>
    </row>
    <row r="39" spans="1:32" outlineLevel="1" x14ac:dyDescent="0.25">
      <c r="A39" s="51"/>
      <c r="B39" s="53">
        <v>4540</v>
      </c>
      <c r="C39" s="52" t="s">
        <v>83</v>
      </c>
      <c r="D39" s="52" t="s">
        <v>103</v>
      </c>
      <c r="E39" s="53">
        <v>4</v>
      </c>
      <c r="F39" s="53">
        <v>1</v>
      </c>
      <c r="G39" s="53">
        <v>5</v>
      </c>
      <c r="H39" s="54"/>
      <c r="I39" s="54"/>
      <c r="J39" s="54"/>
      <c r="K39" s="54"/>
      <c r="L39" s="54"/>
      <c r="M39" s="55"/>
      <c r="N39" s="55"/>
      <c r="O39" s="55"/>
      <c r="P39" s="55"/>
      <c r="Q39" s="55"/>
      <c r="R39" s="55"/>
      <c r="S39" s="54"/>
      <c r="T39" s="54"/>
      <c r="U39" s="55"/>
      <c r="V39" s="54"/>
      <c r="W39" s="55"/>
      <c r="X39" s="54"/>
      <c r="Y39" s="55"/>
      <c r="Z39" s="54"/>
      <c r="AA39" s="55"/>
      <c r="AB39" s="55"/>
      <c r="AC39" s="55"/>
      <c r="AD39" s="55"/>
      <c r="AE39" s="55"/>
      <c r="AF39" s="55"/>
    </row>
    <row r="40" spans="1:32" outlineLevel="1" x14ac:dyDescent="0.25">
      <c r="A40" s="51"/>
      <c r="B40" s="53">
        <v>2674</v>
      </c>
      <c r="C40" s="52" t="s">
        <v>85</v>
      </c>
      <c r="D40" s="52" t="s">
        <v>103</v>
      </c>
      <c r="E40" s="53">
        <v>2</v>
      </c>
      <c r="F40" s="53">
        <v>0</v>
      </c>
      <c r="G40" s="53">
        <v>2</v>
      </c>
      <c r="H40" s="54"/>
      <c r="I40" s="54"/>
      <c r="J40" s="54"/>
      <c r="K40" s="54"/>
      <c r="L40" s="54"/>
      <c r="M40" s="55"/>
      <c r="N40" s="55"/>
      <c r="O40" s="55"/>
      <c r="P40" s="55"/>
      <c r="Q40" s="55"/>
      <c r="R40" s="55"/>
      <c r="S40" s="54"/>
      <c r="T40" s="54"/>
      <c r="U40" s="55"/>
      <c r="V40" s="54"/>
      <c r="W40" s="55"/>
      <c r="X40" s="54"/>
      <c r="Y40" s="55"/>
      <c r="Z40" s="54"/>
      <c r="AA40" s="55"/>
      <c r="AB40" s="55"/>
      <c r="AC40" s="55"/>
      <c r="AD40" s="55"/>
      <c r="AE40" s="55"/>
      <c r="AF40" s="55"/>
    </row>
    <row r="41" spans="1:32" outlineLevel="1" x14ac:dyDescent="0.25">
      <c r="A41" s="51"/>
      <c r="B41" s="53">
        <v>6019</v>
      </c>
      <c r="C41" s="52" t="s">
        <v>87</v>
      </c>
      <c r="D41" s="52" t="s">
        <v>103</v>
      </c>
      <c r="E41" s="53">
        <v>0</v>
      </c>
      <c r="F41" s="53">
        <v>4</v>
      </c>
      <c r="G41" s="53">
        <v>4</v>
      </c>
      <c r="H41" s="54"/>
      <c r="I41" s="54"/>
      <c r="J41" s="54"/>
      <c r="K41" s="54"/>
      <c r="L41" s="54"/>
      <c r="M41" s="55"/>
      <c r="N41" s="55"/>
      <c r="O41" s="55"/>
      <c r="P41" s="55"/>
      <c r="Q41" s="55"/>
      <c r="R41" s="55"/>
      <c r="S41" s="54"/>
      <c r="T41" s="54"/>
      <c r="U41" s="55"/>
      <c r="V41" s="54"/>
      <c r="W41" s="55"/>
      <c r="X41" s="54"/>
      <c r="Y41" s="55"/>
      <c r="Z41" s="54"/>
      <c r="AA41" s="55"/>
      <c r="AB41" s="55"/>
      <c r="AC41" s="55"/>
      <c r="AD41" s="55"/>
      <c r="AE41" s="55"/>
      <c r="AF41" s="55"/>
    </row>
    <row r="42" spans="1:32" outlineLevel="1" x14ac:dyDescent="0.25">
      <c r="A42" s="51"/>
      <c r="B42" s="53">
        <v>2669</v>
      </c>
      <c r="C42" s="52" t="s">
        <v>82</v>
      </c>
      <c r="D42" s="52" t="s">
        <v>103</v>
      </c>
      <c r="E42" s="53">
        <v>2</v>
      </c>
      <c r="F42" s="53">
        <v>0</v>
      </c>
      <c r="G42" s="53">
        <v>2</v>
      </c>
      <c r="H42" s="54"/>
      <c r="I42" s="54"/>
      <c r="J42" s="54"/>
      <c r="K42" s="54"/>
      <c r="L42" s="54"/>
      <c r="M42" s="55"/>
      <c r="N42" s="55"/>
      <c r="O42" s="55"/>
      <c r="P42" s="55"/>
      <c r="Q42" s="55"/>
      <c r="R42" s="55"/>
      <c r="S42" s="54"/>
      <c r="T42" s="54"/>
      <c r="U42" s="55"/>
      <c r="V42" s="54"/>
      <c r="W42" s="55"/>
      <c r="X42" s="54"/>
      <c r="Y42" s="55"/>
      <c r="Z42" s="54"/>
      <c r="AA42" s="55"/>
      <c r="AB42" s="55"/>
      <c r="AC42" s="55"/>
      <c r="AD42" s="55"/>
      <c r="AE42" s="55"/>
      <c r="AF42" s="55"/>
    </row>
    <row r="43" spans="1:32" outlineLevel="1" x14ac:dyDescent="0.25">
      <c r="A43" s="51"/>
      <c r="B43" s="53">
        <v>4639</v>
      </c>
      <c r="C43" s="52" t="s">
        <v>81</v>
      </c>
      <c r="D43" s="52" t="s">
        <v>103</v>
      </c>
      <c r="E43" s="53">
        <v>18</v>
      </c>
      <c r="F43" s="53">
        <v>0</v>
      </c>
      <c r="G43" s="53">
        <v>18</v>
      </c>
      <c r="H43" s="54"/>
      <c r="I43" s="54"/>
      <c r="J43" s="54"/>
      <c r="K43" s="54"/>
      <c r="L43" s="54"/>
      <c r="M43" s="55"/>
      <c r="N43" s="55"/>
      <c r="O43" s="55"/>
      <c r="P43" s="55"/>
      <c r="Q43" s="55"/>
      <c r="R43" s="55"/>
      <c r="S43" s="54"/>
      <c r="T43" s="54"/>
      <c r="U43" s="55"/>
      <c r="V43" s="54"/>
      <c r="W43" s="55"/>
      <c r="X43" s="54"/>
      <c r="Y43" s="55"/>
      <c r="Z43" s="54"/>
      <c r="AA43" s="55"/>
      <c r="AB43" s="55"/>
      <c r="AC43" s="55"/>
      <c r="AD43" s="55"/>
      <c r="AE43" s="55"/>
      <c r="AF43" s="55"/>
    </row>
    <row r="44" spans="1:32" ht="15.75" customHeight="1" x14ac:dyDescent="0.25">
      <c r="A44" s="68">
        <v>11</v>
      </c>
      <c r="B44" s="69">
        <v>476904</v>
      </c>
      <c r="C44" s="68" t="s">
        <v>104</v>
      </c>
      <c r="D44" s="68"/>
      <c r="E44" s="69">
        <v>26</v>
      </c>
      <c r="F44" s="69">
        <v>15</v>
      </c>
      <c r="G44" s="69">
        <v>41</v>
      </c>
      <c r="H44" s="70"/>
      <c r="I44" s="70"/>
      <c r="J44" s="70"/>
      <c r="K44" s="70"/>
      <c r="L44" s="70"/>
      <c r="M44" s="71"/>
      <c r="N44" s="71"/>
      <c r="O44" s="71"/>
      <c r="P44" s="71"/>
      <c r="Q44" s="71"/>
      <c r="R44" s="71"/>
      <c r="S44" s="70"/>
      <c r="T44" s="70"/>
      <c r="U44" s="71"/>
      <c r="V44" s="70"/>
      <c r="W44" s="71"/>
      <c r="X44" s="70"/>
      <c r="Y44" s="71"/>
      <c r="Z44" s="70"/>
      <c r="AA44" s="71"/>
      <c r="AB44" s="71"/>
      <c r="AC44" s="71"/>
      <c r="AD44" s="71"/>
      <c r="AE44" s="71"/>
      <c r="AF44" s="71"/>
    </row>
    <row r="45" spans="1:32" outlineLevel="1" x14ac:dyDescent="0.25">
      <c r="A45" s="51"/>
      <c r="B45" s="53">
        <v>2703</v>
      </c>
      <c r="C45" s="52" t="s">
        <v>84</v>
      </c>
      <c r="D45" s="52" t="s">
        <v>104</v>
      </c>
      <c r="E45" s="53">
        <v>4</v>
      </c>
      <c r="F45" s="53">
        <v>0</v>
      </c>
      <c r="G45" s="53">
        <v>4</v>
      </c>
      <c r="H45" s="54"/>
      <c r="I45" s="54"/>
      <c r="J45" s="54"/>
      <c r="K45" s="54"/>
      <c r="L45" s="54"/>
      <c r="M45" s="55"/>
      <c r="N45" s="55"/>
      <c r="O45" s="55"/>
      <c r="P45" s="55"/>
      <c r="Q45" s="55"/>
      <c r="R45" s="55"/>
      <c r="S45" s="54"/>
      <c r="T45" s="54"/>
      <c r="U45" s="55"/>
      <c r="V45" s="54"/>
      <c r="W45" s="55"/>
      <c r="X45" s="54"/>
      <c r="Y45" s="55"/>
      <c r="Z45" s="54"/>
      <c r="AA45" s="55"/>
      <c r="AB45" s="55"/>
      <c r="AC45" s="55"/>
      <c r="AD45" s="55"/>
      <c r="AE45" s="55"/>
      <c r="AF45" s="55"/>
    </row>
    <row r="46" spans="1:32" outlineLevel="1" x14ac:dyDescent="0.25">
      <c r="A46" s="51"/>
      <c r="B46" s="53">
        <v>4540</v>
      </c>
      <c r="C46" s="52" t="s">
        <v>83</v>
      </c>
      <c r="D46" s="52" t="s">
        <v>104</v>
      </c>
      <c r="E46" s="53">
        <v>1</v>
      </c>
      <c r="F46" s="53">
        <v>1</v>
      </c>
      <c r="G46" s="53">
        <v>2</v>
      </c>
      <c r="H46" s="54"/>
      <c r="I46" s="54"/>
      <c r="J46" s="54"/>
      <c r="K46" s="54"/>
      <c r="L46" s="54"/>
      <c r="M46" s="55"/>
      <c r="N46" s="55"/>
      <c r="O46" s="55"/>
      <c r="P46" s="55"/>
      <c r="Q46" s="55"/>
      <c r="R46" s="55"/>
      <c r="S46" s="54"/>
      <c r="T46" s="54"/>
      <c r="U46" s="55"/>
      <c r="V46" s="54"/>
      <c r="W46" s="55"/>
      <c r="X46" s="54"/>
      <c r="Y46" s="55"/>
      <c r="Z46" s="54"/>
      <c r="AA46" s="55"/>
      <c r="AB46" s="55"/>
      <c r="AC46" s="55"/>
      <c r="AD46" s="55"/>
      <c r="AE46" s="55"/>
      <c r="AF46" s="55"/>
    </row>
    <row r="47" spans="1:32" outlineLevel="1" x14ac:dyDescent="0.25">
      <c r="A47" s="51"/>
      <c r="B47" s="53">
        <v>2674</v>
      </c>
      <c r="C47" s="52" t="s">
        <v>85</v>
      </c>
      <c r="D47" s="52" t="s">
        <v>104</v>
      </c>
      <c r="E47" s="53">
        <v>5</v>
      </c>
      <c r="F47" s="53">
        <v>0</v>
      </c>
      <c r="G47" s="53">
        <v>5</v>
      </c>
      <c r="H47" s="54"/>
      <c r="I47" s="54"/>
      <c r="J47" s="54"/>
      <c r="K47" s="54"/>
      <c r="L47" s="54"/>
      <c r="M47" s="55"/>
      <c r="N47" s="55"/>
      <c r="O47" s="55"/>
      <c r="P47" s="55"/>
      <c r="Q47" s="55"/>
      <c r="R47" s="55"/>
      <c r="S47" s="54"/>
      <c r="T47" s="54"/>
      <c r="U47" s="55"/>
      <c r="V47" s="54"/>
      <c r="W47" s="55"/>
      <c r="X47" s="54"/>
      <c r="Y47" s="55"/>
      <c r="Z47" s="54"/>
      <c r="AA47" s="55"/>
      <c r="AB47" s="55"/>
      <c r="AC47" s="55"/>
      <c r="AD47" s="55"/>
      <c r="AE47" s="55"/>
      <c r="AF47" s="55"/>
    </row>
    <row r="48" spans="1:32" outlineLevel="1" x14ac:dyDescent="0.25">
      <c r="A48" s="51"/>
      <c r="B48" s="53">
        <v>6019</v>
      </c>
      <c r="C48" s="52" t="s">
        <v>87</v>
      </c>
      <c r="D48" s="52" t="s">
        <v>104</v>
      </c>
      <c r="E48" s="53">
        <v>4</v>
      </c>
      <c r="F48" s="53">
        <v>14</v>
      </c>
      <c r="G48" s="53">
        <v>18</v>
      </c>
      <c r="H48" s="54"/>
      <c r="I48" s="54"/>
      <c r="J48" s="54"/>
      <c r="K48" s="54"/>
      <c r="L48" s="54"/>
      <c r="M48" s="55"/>
      <c r="N48" s="55"/>
      <c r="O48" s="55"/>
      <c r="P48" s="55"/>
      <c r="Q48" s="55"/>
      <c r="R48" s="55"/>
      <c r="S48" s="54"/>
      <c r="T48" s="54"/>
      <c r="U48" s="55"/>
      <c r="V48" s="54"/>
      <c r="W48" s="55"/>
      <c r="X48" s="54"/>
      <c r="Y48" s="55"/>
      <c r="Z48" s="54"/>
      <c r="AA48" s="55"/>
      <c r="AB48" s="55"/>
      <c r="AC48" s="55"/>
      <c r="AD48" s="55"/>
      <c r="AE48" s="55"/>
      <c r="AF48" s="55"/>
    </row>
    <row r="49" spans="1:32" outlineLevel="1" x14ac:dyDescent="0.25">
      <c r="A49" s="51"/>
      <c r="B49" s="53">
        <v>2669</v>
      </c>
      <c r="C49" s="52" t="s">
        <v>82</v>
      </c>
      <c r="D49" s="52" t="s">
        <v>104</v>
      </c>
      <c r="E49" s="53">
        <v>3</v>
      </c>
      <c r="F49" s="53">
        <v>0</v>
      </c>
      <c r="G49" s="53">
        <v>3</v>
      </c>
      <c r="H49" s="54"/>
      <c r="I49" s="54"/>
      <c r="J49" s="54"/>
      <c r="K49" s="54"/>
      <c r="L49" s="54"/>
      <c r="M49" s="55"/>
      <c r="N49" s="55"/>
      <c r="O49" s="55"/>
      <c r="P49" s="55"/>
      <c r="Q49" s="55"/>
      <c r="R49" s="55"/>
      <c r="S49" s="54"/>
      <c r="T49" s="54"/>
      <c r="U49" s="55"/>
      <c r="V49" s="54"/>
      <c r="W49" s="55"/>
      <c r="X49" s="54"/>
      <c r="Y49" s="55"/>
      <c r="Z49" s="54"/>
      <c r="AA49" s="55"/>
      <c r="AB49" s="55"/>
      <c r="AC49" s="55"/>
      <c r="AD49" s="55"/>
      <c r="AE49" s="55"/>
      <c r="AF49" s="55"/>
    </row>
    <row r="50" spans="1:32" outlineLevel="1" x14ac:dyDescent="0.25">
      <c r="A50" s="51"/>
      <c r="B50" s="53">
        <v>4639</v>
      </c>
      <c r="C50" s="52" t="s">
        <v>81</v>
      </c>
      <c r="D50" s="52" t="s">
        <v>104</v>
      </c>
      <c r="E50" s="53">
        <v>9</v>
      </c>
      <c r="F50" s="53">
        <v>0</v>
      </c>
      <c r="G50" s="53">
        <v>9</v>
      </c>
      <c r="H50" s="54"/>
      <c r="I50" s="54"/>
      <c r="J50" s="54"/>
      <c r="K50" s="54"/>
      <c r="L50" s="54"/>
      <c r="M50" s="55"/>
      <c r="N50" s="55"/>
      <c r="O50" s="55"/>
      <c r="P50" s="55"/>
      <c r="Q50" s="55"/>
      <c r="R50" s="55"/>
      <c r="S50" s="54"/>
      <c r="T50" s="54"/>
      <c r="U50" s="55"/>
      <c r="V50" s="54"/>
      <c r="W50" s="55"/>
      <c r="X50" s="54"/>
      <c r="Y50" s="55"/>
      <c r="Z50" s="54"/>
      <c r="AA50" s="55"/>
      <c r="AB50" s="55"/>
      <c r="AC50" s="55"/>
      <c r="AD50" s="55"/>
      <c r="AE50" s="55"/>
      <c r="AF50" s="55"/>
    </row>
    <row r="51" spans="1:32" ht="15.75" customHeight="1" x14ac:dyDescent="0.25">
      <c r="A51" s="68">
        <v>12</v>
      </c>
      <c r="B51" s="69">
        <v>476900</v>
      </c>
      <c r="C51" s="68" t="s">
        <v>105</v>
      </c>
      <c r="D51" s="68"/>
      <c r="E51" s="69">
        <v>20</v>
      </c>
      <c r="F51" s="69">
        <v>4</v>
      </c>
      <c r="G51" s="69">
        <v>24</v>
      </c>
      <c r="H51" s="70"/>
      <c r="I51" s="70"/>
      <c r="J51" s="70"/>
      <c r="K51" s="70"/>
      <c r="L51" s="70"/>
      <c r="M51" s="71"/>
      <c r="N51" s="71"/>
      <c r="O51" s="71"/>
      <c r="P51" s="71"/>
      <c r="Q51" s="71"/>
      <c r="R51" s="71"/>
      <c r="S51" s="70"/>
      <c r="T51" s="70"/>
      <c r="U51" s="71"/>
      <c r="V51" s="70"/>
      <c r="W51" s="71"/>
      <c r="X51" s="70"/>
      <c r="Y51" s="71"/>
      <c r="Z51" s="70"/>
      <c r="AA51" s="71"/>
      <c r="AB51" s="71"/>
      <c r="AC51" s="71"/>
      <c r="AD51" s="71"/>
      <c r="AE51" s="71"/>
      <c r="AF51" s="71"/>
    </row>
    <row r="52" spans="1:32" outlineLevel="1" x14ac:dyDescent="0.25">
      <c r="A52" s="51"/>
      <c r="B52" s="53">
        <v>2703</v>
      </c>
      <c r="C52" s="52" t="s">
        <v>84</v>
      </c>
      <c r="D52" s="52" t="s">
        <v>105</v>
      </c>
      <c r="E52" s="53">
        <v>4</v>
      </c>
      <c r="F52" s="53">
        <v>0</v>
      </c>
      <c r="G52" s="53">
        <v>4</v>
      </c>
      <c r="H52" s="54"/>
      <c r="I52" s="54"/>
      <c r="J52" s="54"/>
      <c r="K52" s="54"/>
      <c r="L52" s="54"/>
      <c r="M52" s="55"/>
      <c r="N52" s="55"/>
      <c r="O52" s="55"/>
      <c r="P52" s="55"/>
      <c r="Q52" s="55"/>
      <c r="R52" s="55"/>
      <c r="S52" s="54"/>
      <c r="T52" s="54"/>
      <c r="U52" s="55"/>
      <c r="V52" s="54"/>
      <c r="W52" s="55"/>
      <c r="X52" s="54"/>
      <c r="Y52" s="55"/>
      <c r="Z52" s="54"/>
      <c r="AA52" s="55"/>
      <c r="AB52" s="55"/>
      <c r="AC52" s="55"/>
      <c r="AD52" s="55"/>
      <c r="AE52" s="55"/>
      <c r="AF52" s="55"/>
    </row>
    <row r="53" spans="1:32" outlineLevel="1" x14ac:dyDescent="0.25">
      <c r="A53" s="51"/>
      <c r="B53" s="53">
        <v>4540</v>
      </c>
      <c r="C53" s="52" t="s">
        <v>83</v>
      </c>
      <c r="D53" s="52" t="s">
        <v>105</v>
      </c>
      <c r="E53" s="53">
        <v>3</v>
      </c>
      <c r="F53" s="53">
        <v>0</v>
      </c>
      <c r="G53" s="53">
        <v>3</v>
      </c>
      <c r="H53" s="54"/>
      <c r="I53" s="54"/>
      <c r="J53" s="54"/>
      <c r="K53" s="54"/>
      <c r="L53" s="54"/>
      <c r="M53" s="55"/>
      <c r="N53" s="55"/>
      <c r="O53" s="55"/>
      <c r="P53" s="55"/>
      <c r="Q53" s="55"/>
      <c r="R53" s="55"/>
      <c r="S53" s="54"/>
      <c r="T53" s="54"/>
      <c r="U53" s="55"/>
      <c r="V53" s="54"/>
      <c r="W53" s="55"/>
      <c r="X53" s="54"/>
      <c r="Y53" s="55"/>
      <c r="Z53" s="54"/>
      <c r="AA53" s="55"/>
      <c r="AB53" s="55"/>
      <c r="AC53" s="55"/>
      <c r="AD53" s="55"/>
      <c r="AE53" s="55"/>
      <c r="AF53" s="55"/>
    </row>
    <row r="54" spans="1:32" outlineLevel="1" x14ac:dyDescent="0.25">
      <c r="A54" s="51"/>
      <c r="B54" s="53">
        <v>2674</v>
      </c>
      <c r="C54" s="52" t="s">
        <v>85</v>
      </c>
      <c r="D54" s="52" t="s">
        <v>105</v>
      </c>
      <c r="E54" s="53">
        <v>2</v>
      </c>
      <c r="F54" s="53">
        <v>0</v>
      </c>
      <c r="G54" s="53">
        <v>2</v>
      </c>
      <c r="H54" s="54"/>
      <c r="I54" s="54"/>
      <c r="J54" s="54"/>
      <c r="K54" s="54"/>
      <c r="L54" s="54"/>
      <c r="M54" s="55"/>
      <c r="N54" s="55"/>
      <c r="O54" s="55"/>
      <c r="P54" s="55"/>
      <c r="Q54" s="55"/>
      <c r="R54" s="55"/>
      <c r="S54" s="54"/>
      <c r="T54" s="54"/>
      <c r="U54" s="55"/>
      <c r="V54" s="54"/>
      <c r="W54" s="55"/>
      <c r="X54" s="54"/>
      <c r="Y54" s="55"/>
      <c r="Z54" s="54"/>
      <c r="AA54" s="55"/>
      <c r="AB54" s="55"/>
      <c r="AC54" s="55"/>
      <c r="AD54" s="55"/>
      <c r="AE54" s="55"/>
      <c r="AF54" s="55"/>
    </row>
    <row r="55" spans="1:32" outlineLevel="1" x14ac:dyDescent="0.25">
      <c r="A55" s="51"/>
      <c r="B55" s="53">
        <v>6019</v>
      </c>
      <c r="C55" s="52" t="s">
        <v>87</v>
      </c>
      <c r="D55" s="52" t="s">
        <v>105</v>
      </c>
      <c r="E55" s="53">
        <v>2</v>
      </c>
      <c r="F55" s="53">
        <v>4</v>
      </c>
      <c r="G55" s="53">
        <v>6</v>
      </c>
      <c r="H55" s="54"/>
      <c r="I55" s="54"/>
      <c r="J55" s="54"/>
      <c r="K55" s="54"/>
      <c r="L55" s="54"/>
      <c r="M55" s="55"/>
      <c r="N55" s="55"/>
      <c r="O55" s="55"/>
      <c r="P55" s="55"/>
      <c r="Q55" s="55"/>
      <c r="R55" s="55"/>
      <c r="S55" s="54"/>
      <c r="T55" s="54"/>
      <c r="U55" s="55"/>
      <c r="V55" s="54"/>
      <c r="W55" s="55"/>
      <c r="X55" s="54"/>
      <c r="Y55" s="55"/>
      <c r="Z55" s="54"/>
      <c r="AA55" s="55"/>
      <c r="AB55" s="55"/>
      <c r="AC55" s="55"/>
      <c r="AD55" s="55"/>
      <c r="AE55" s="55"/>
      <c r="AF55" s="55"/>
    </row>
    <row r="56" spans="1:32" outlineLevel="1" x14ac:dyDescent="0.25">
      <c r="A56" s="51"/>
      <c r="B56" s="53">
        <v>2669</v>
      </c>
      <c r="C56" s="52" t="s">
        <v>82</v>
      </c>
      <c r="D56" s="52" t="s">
        <v>105</v>
      </c>
      <c r="E56" s="53">
        <v>2</v>
      </c>
      <c r="F56" s="53">
        <v>0</v>
      </c>
      <c r="G56" s="53">
        <v>2</v>
      </c>
      <c r="H56" s="54"/>
      <c r="I56" s="54"/>
      <c r="J56" s="54"/>
      <c r="K56" s="54"/>
      <c r="L56" s="54"/>
      <c r="M56" s="55"/>
      <c r="N56" s="55"/>
      <c r="O56" s="55"/>
      <c r="P56" s="55"/>
      <c r="Q56" s="55"/>
      <c r="R56" s="55"/>
      <c r="S56" s="54"/>
      <c r="T56" s="54"/>
      <c r="U56" s="55"/>
      <c r="V56" s="54"/>
      <c r="W56" s="55"/>
      <c r="X56" s="54"/>
      <c r="Y56" s="55"/>
      <c r="Z56" s="54"/>
      <c r="AA56" s="55"/>
      <c r="AB56" s="55"/>
      <c r="AC56" s="55"/>
      <c r="AD56" s="55"/>
      <c r="AE56" s="55"/>
      <c r="AF56" s="55"/>
    </row>
    <row r="57" spans="1:32" outlineLevel="1" x14ac:dyDescent="0.25">
      <c r="A57" s="51"/>
      <c r="B57" s="53">
        <v>4639</v>
      </c>
      <c r="C57" s="52" t="s">
        <v>81</v>
      </c>
      <c r="D57" s="52" t="s">
        <v>105</v>
      </c>
      <c r="E57" s="53">
        <v>7</v>
      </c>
      <c r="F57" s="53">
        <v>0</v>
      </c>
      <c r="G57" s="53">
        <v>7</v>
      </c>
      <c r="H57" s="54"/>
      <c r="I57" s="54"/>
      <c r="J57" s="54"/>
      <c r="K57" s="54"/>
      <c r="L57" s="54"/>
      <c r="M57" s="55"/>
      <c r="N57" s="55"/>
      <c r="O57" s="55"/>
      <c r="P57" s="55"/>
      <c r="Q57" s="55"/>
      <c r="R57" s="55"/>
      <c r="S57" s="54"/>
      <c r="T57" s="54"/>
      <c r="U57" s="55"/>
      <c r="V57" s="54"/>
      <c r="W57" s="55"/>
      <c r="X57" s="54"/>
      <c r="Y57" s="55"/>
      <c r="Z57" s="54"/>
      <c r="AA57" s="55"/>
      <c r="AB57" s="55"/>
      <c r="AC57" s="55"/>
      <c r="AD57" s="55"/>
      <c r="AE57" s="55"/>
      <c r="AF57" s="55"/>
    </row>
    <row r="58" spans="1:32" ht="15.75" customHeight="1" x14ac:dyDescent="0.25">
      <c r="A58" s="68">
        <v>13</v>
      </c>
      <c r="B58" s="69">
        <v>477760</v>
      </c>
      <c r="C58" s="68" t="s">
        <v>106</v>
      </c>
      <c r="D58" s="68"/>
      <c r="E58" s="69">
        <v>29</v>
      </c>
      <c r="F58" s="69">
        <v>11</v>
      </c>
      <c r="G58" s="69">
        <v>40</v>
      </c>
      <c r="H58" s="70"/>
      <c r="I58" s="70"/>
      <c r="J58" s="70"/>
      <c r="K58" s="70"/>
      <c r="L58" s="70"/>
      <c r="M58" s="71"/>
      <c r="N58" s="71"/>
      <c r="O58" s="71"/>
      <c r="P58" s="71"/>
      <c r="Q58" s="71"/>
      <c r="R58" s="71"/>
      <c r="S58" s="70"/>
      <c r="T58" s="70"/>
      <c r="U58" s="71"/>
      <c r="V58" s="70"/>
      <c r="W58" s="71"/>
      <c r="X58" s="70"/>
      <c r="Y58" s="71"/>
      <c r="Z58" s="70"/>
      <c r="AA58" s="71"/>
      <c r="AB58" s="71"/>
      <c r="AC58" s="71"/>
      <c r="AD58" s="71"/>
      <c r="AE58" s="71"/>
      <c r="AF58" s="71"/>
    </row>
    <row r="59" spans="1:32" outlineLevel="1" x14ac:dyDescent="0.25">
      <c r="A59" s="51"/>
      <c r="B59" s="53">
        <v>2703</v>
      </c>
      <c r="C59" s="52" t="s">
        <v>84</v>
      </c>
      <c r="D59" s="52" t="s">
        <v>106</v>
      </c>
      <c r="E59" s="53">
        <v>6</v>
      </c>
      <c r="F59" s="53">
        <v>0</v>
      </c>
      <c r="G59" s="53">
        <v>6</v>
      </c>
      <c r="H59" s="54"/>
      <c r="I59" s="54"/>
      <c r="J59" s="54"/>
      <c r="K59" s="54"/>
      <c r="L59" s="54"/>
      <c r="M59" s="55"/>
      <c r="N59" s="55"/>
      <c r="O59" s="55"/>
      <c r="P59" s="55"/>
      <c r="Q59" s="55"/>
      <c r="R59" s="55"/>
      <c r="S59" s="54"/>
      <c r="T59" s="54"/>
      <c r="U59" s="55"/>
      <c r="V59" s="54"/>
      <c r="W59" s="55"/>
      <c r="X59" s="54"/>
      <c r="Y59" s="55"/>
      <c r="Z59" s="54"/>
      <c r="AA59" s="55"/>
      <c r="AB59" s="55"/>
      <c r="AC59" s="55"/>
      <c r="AD59" s="55"/>
      <c r="AE59" s="55"/>
      <c r="AF59" s="55"/>
    </row>
    <row r="60" spans="1:32" outlineLevel="1" x14ac:dyDescent="0.25">
      <c r="A60" s="51"/>
      <c r="B60" s="53">
        <v>4540</v>
      </c>
      <c r="C60" s="52" t="s">
        <v>83</v>
      </c>
      <c r="D60" s="52" t="s">
        <v>106</v>
      </c>
      <c r="E60" s="53">
        <v>3</v>
      </c>
      <c r="F60" s="53">
        <v>0</v>
      </c>
      <c r="G60" s="53">
        <v>3</v>
      </c>
      <c r="H60" s="54"/>
      <c r="I60" s="54"/>
      <c r="J60" s="54"/>
      <c r="K60" s="54"/>
      <c r="L60" s="54"/>
      <c r="M60" s="55"/>
      <c r="N60" s="55"/>
      <c r="O60" s="55"/>
      <c r="P60" s="55"/>
      <c r="Q60" s="55"/>
      <c r="R60" s="55"/>
      <c r="S60" s="54"/>
      <c r="T60" s="54"/>
      <c r="U60" s="55"/>
      <c r="V60" s="54"/>
      <c r="W60" s="55"/>
      <c r="X60" s="54"/>
      <c r="Y60" s="55"/>
      <c r="Z60" s="54"/>
      <c r="AA60" s="55"/>
      <c r="AB60" s="55"/>
      <c r="AC60" s="55"/>
      <c r="AD60" s="55"/>
      <c r="AE60" s="55"/>
      <c r="AF60" s="55"/>
    </row>
    <row r="61" spans="1:32" outlineLevel="1" x14ac:dyDescent="0.25">
      <c r="A61" s="51"/>
      <c r="B61" s="53">
        <v>2674</v>
      </c>
      <c r="C61" s="52" t="s">
        <v>85</v>
      </c>
      <c r="D61" s="52" t="s">
        <v>106</v>
      </c>
      <c r="E61" s="53">
        <v>4</v>
      </c>
      <c r="F61" s="53">
        <v>0</v>
      </c>
      <c r="G61" s="53">
        <v>4</v>
      </c>
      <c r="H61" s="54"/>
      <c r="I61" s="54"/>
      <c r="J61" s="54"/>
      <c r="K61" s="54"/>
      <c r="L61" s="54"/>
      <c r="M61" s="55"/>
      <c r="N61" s="55"/>
      <c r="O61" s="55"/>
      <c r="P61" s="55"/>
      <c r="Q61" s="55"/>
      <c r="R61" s="55"/>
      <c r="S61" s="54"/>
      <c r="T61" s="54"/>
      <c r="U61" s="55"/>
      <c r="V61" s="54"/>
      <c r="W61" s="55"/>
      <c r="X61" s="54"/>
      <c r="Y61" s="55"/>
      <c r="Z61" s="54"/>
      <c r="AA61" s="55"/>
      <c r="AB61" s="55"/>
      <c r="AC61" s="55"/>
      <c r="AD61" s="55"/>
      <c r="AE61" s="55"/>
      <c r="AF61" s="55"/>
    </row>
    <row r="62" spans="1:32" outlineLevel="1" x14ac:dyDescent="0.25">
      <c r="A62" s="51"/>
      <c r="B62" s="53">
        <v>6019</v>
      </c>
      <c r="C62" s="52" t="s">
        <v>87</v>
      </c>
      <c r="D62" s="52" t="s">
        <v>106</v>
      </c>
      <c r="E62" s="53">
        <v>0</v>
      </c>
      <c r="F62" s="53">
        <v>11</v>
      </c>
      <c r="G62" s="53">
        <v>11</v>
      </c>
      <c r="H62" s="54"/>
      <c r="I62" s="54"/>
      <c r="J62" s="54"/>
      <c r="K62" s="54"/>
      <c r="L62" s="54"/>
      <c r="M62" s="55"/>
      <c r="N62" s="55"/>
      <c r="O62" s="55"/>
      <c r="P62" s="55"/>
      <c r="Q62" s="55"/>
      <c r="R62" s="55"/>
      <c r="S62" s="54"/>
      <c r="T62" s="54"/>
      <c r="U62" s="55"/>
      <c r="V62" s="54"/>
      <c r="W62" s="55"/>
      <c r="X62" s="54"/>
      <c r="Y62" s="55"/>
      <c r="Z62" s="54"/>
      <c r="AA62" s="55"/>
      <c r="AB62" s="55"/>
      <c r="AC62" s="55"/>
      <c r="AD62" s="55"/>
      <c r="AE62" s="55"/>
      <c r="AF62" s="55"/>
    </row>
    <row r="63" spans="1:32" outlineLevel="1" x14ac:dyDescent="0.25">
      <c r="A63" s="51"/>
      <c r="B63" s="53">
        <v>2669</v>
      </c>
      <c r="C63" s="52" t="s">
        <v>82</v>
      </c>
      <c r="D63" s="52" t="s">
        <v>106</v>
      </c>
      <c r="E63" s="53">
        <v>3</v>
      </c>
      <c r="F63" s="53">
        <v>0</v>
      </c>
      <c r="G63" s="53">
        <v>3</v>
      </c>
      <c r="H63" s="54"/>
      <c r="I63" s="54"/>
      <c r="J63" s="54"/>
      <c r="K63" s="54"/>
      <c r="L63" s="54"/>
      <c r="M63" s="55"/>
      <c r="N63" s="55"/>
      <c r="O63" s="55"/>
      <c r="P63" s="55"/>
      <c r="Q63" s="55"/>
      <c r="R63" s="55"/>
      <c r="S63" s="54"/>
      <c r="T63" s="54"/>
      <c r="U63" s="55"/>
      <c r="V63" s="54"/>
      <c r="W63" s="55"/>
      <c r="X63" s="54"/>
      <c r="Y63" s="55"/>
      <c r="Z63" s="54"/>
      <c r="AA63" s="55"/>
      <c r="AB63" s="55"/>
      <c r="AC63" s="55"/>
      <c r="AD63" s="55"/>
      <c r="AE63" s="55"/>
      <c r="AF63" s="55"/>
    </row>
    <row r="64" spans="1:32" outlineLevel="1" x14ac:dyDescent="0.25">
      <c r="A64" s="51"/>
      <c r="B64" s="53">
        <v>4639</v>
      </c>
      <c r="C64" s="52" t="s">
        <v>81</v>
      </c>
      <c r="D64" s="52" t="s">
        <v>106</v>
      </c>
      <c r="E64" s="53">
        <v>13</v>
      </c>
      <c r="F64" s="53">
        <v>0</v>
      </c>
      <c r="G64" s="53">
        <v>13</v>
      </c>
      <c r="H64" s="54"/>
      <c r="I64" s="54"/>
      <c r="J64" s="54"/>
      <c r="K64" s="54"/>
      <c r="L64" s="54"/>
      <c r="M64" s="55"/>
      <c r="N64" s="55"/>
      <c r="O64" s="55"/>
      <c r="P64" s="55"/>
      <c r="Q64" s="55"/>
      <c r="R64" s="55"/>
      <c r="S64" s="54"/>
      <c r="T64" s="54"/>
      <c r="U64" s="55"/>
      <c r="V64" s="54"/>
      <c r="W64" s="55"/>
      <c r="X64" s="54"/>
      <c r="Y64" s="55"/>
      <c r="Z64" s="54"/>
      <c r="AA64" s="55"/>
      <c r="AB64" s="55"/>
      <c r="AC64" s="55"/>
      <c r="AD64" s="55"/>
      <c r="AE64" s="55"/>
      <c r="AF64" s="55"/>
    </row>
    <row r="65" spans="1:32" ht="15.75" customHeight="1" x14ac:dyDescent="0.25">
      <c r="A65" s="68">
        <v>14</v>
      </c>
      <c r="B65" s="69">
        <v>477759</v>
      </c>
      <c r="C65" s="68" t="s">
        <v>107</v>
      </c>
      <c r="D65" s="68"/>
      <c r="E65" s="69">
        <v>22</v>
      </c>
      <c r="F65" s="69">
        <v>6</v>
      </c>
      <c r="G65" s="69">
        <v>28</v>
      </c>
      <c r="H65" s="70"/>
      <c r="I65" s="70"/>
      <c r="J65" s="70"/>
      <c r="K65" s="70"/>
      <c r="L65" s="70"/>
      <c r="M65" s="71"/>
      <c r="N65" s="71"/>
      <c r="O65" s="71"/>
      <c r="P65" s="71"/>
      <c r="Q65" s="71"/>
      <c r="R65" s="71"/>
      <c r="S65" s="70"/>
      <c r="T65" s="70"/>
      <c r="U65" s="71"/>
      <c r="V65" s="70"/>
      <c r="W65" s="71"/>
      <c r="X65" s="70"/>
      <c r="Y65" s="71"/>
      <c r="Z65" s="70"/>
      <c r="AA65" s="71"/>
      <c r="AB65" s="71"/>
      <c r="AC65" s="71"/>
      <c r="AD65" s="71"/>
      <c r="AE65" s="71"/>
      <c r="AF65" s="71"/>
    </row>
    <row r="66" spans="1:32" outlineLevel="1" x14ac:dyDescent="0.25">
      <c r="A66" s="51"/>
      <c r="B66" s="53">
        <v>2703</v>
      </c>
      <c r="C66" s="52" t="s">
        <v>84</v>
      </c>
      <c r="D66" s="52" t="s">
        <v>107</v>
      </c>
      <c r="E66" s="53">
        <v>2</v>
      </c>
      <c r="F66" s="53">
        <v>0</v>
      </c>
      <c r="G66" s="53">
        <v>2</v>
      </c>
      <c r="H66" s="54"/>
      <c r="I66" s="54"/>
      <c r="J66" s="54"/>
      <c r="K66" s="54"/>
      <c r="L66" s="54"/>
      <c r="M66" s="55"/>
      <c r="N66" s="55"/>
      <c r="O66" s="55"/>
      <c r="P66" s="55"/>
      <c r="Q66" s="55"/>
      <c r="R66" s="55"/>
      <c r="S66" s="54"/>
      <c r="T66" s="54"/>
      <c r="U66" s="55"/>
      <c r="V66" s="54"/>
      <c r="W66" s="55"/>
      <c r="X66" s="54"/>
      <c r="Y66" s="55"/>
      <c r="Z66" s="54"/>
      <c r="AA66" s="55"/>
      <c r="AB66" s="55"/>
      <c r="AC66" s="55"/>
      <c r="AD66" s="55"/>
      <c r="AE66" s="55"/>
      <c r="AF66" s="55"/>
    </row>
    <row r="67" spans="1:32" outlineLevel="1" x14ac:dyDescent="0.25">
      <c r="A67" s="51"/>
      <c r="B67" s="53">
        <v>4540</v>
      </c>
      <c r="C67" s="52" t="s">
        <v>83</v>
      </c>
      <c r="D67" s="52" t="s">
        <v>107</v>
      </c>
      <c r="E67" s="53">
        <v>2</v>
      </c>
      <c r="F67" s="53">
        <v>0</v>
      </c>
      <c r="G67" s="53">
        <v>2</v>
      </c>
      <c r="H67" s="54"/>
      <c r="I67" s="54"/>
      <c r="J67" s="54"/>
      <c r="K67" s="54"/>
      <c r="L67" s="54"/>
      <c r="M67" s="55"/>
      <c r="N67" s="55"/>
      <c r="O67" s="55"/>
      <c r="P67" s="55"/>
      <c r="Q67" s="55"/>
      <c r="R67" s="55"/>
      <c r="S67" s="54"/>
      <c r="T67" s="54"/>
      <c r="U67" s="55"/>
      <c r="V67" s="54"/>
      <c r="W67" s="55"/>
      <c r="X67" s="54"/>
      <c r="Y67" s="55"/>
      <c r="Z67" s="54"/>
      <c r="AA67" s="55"/>
      <c r="AB67" s="55"/>
      <c r="AC67" s="55"/>
      <c r="AD67" s="55"/>
      <c r="AE67" s="55"/>
      <c r="AF67" s="55"/>
    </row>
    <row r="68" spans="1:32" outlineLevel="1" x14ac:dyDescent="0.25">
      <c r="A68" s="51"/>
      <c r="B68" s="53">
        <v>2674</v>
      </c>
      <c r="C68" s="52" t="s">
        <v>85</v>
      </c>
      <c r="D68" s="52" t="s">
        <v>107</v>
      </c>
      <c r="E68" s="53">
        <v>2</v>
      </c>
      <c r="F68" s="53">
        <v>0</v>
      </c>
      <c r="G68" s="53">
        <v>2</v>
      </c>
      <c r="H68" s="54"/>
      <c r="I68" s="54"/>
      <c r="J68" s="54"/>
      <c r="K68" s="54"/>
      <c r="L68" s="54"/>
      <c r="M68" s="55"/>
      <c r="N68" s="55"/>
      <c r="O68" s="55"/>
      <c r="P68" s="55"/>
      <c r="Q68" s="55"/>
      <c r="R68" s="55"/>
      <c r="S68" s="54"/>
      <c r="T68" s="54"/>
      <c r="U68" s="55"/>
      <c r="V68" s="54"/>
      <c r="W68" s="55"/>
      <c r="X68" s="54"/>
      <c r="Y68" s="55"/>
      <c r="Z68" s="54"/>
      <c r="AA68" s="55"/>
      <c r="AB68" s="55"/>
      <c r="AC68" s="55"/>
      <c r="AD68" s="55"/>
      <c r="AE68" s="55"/>
      <c r="AF68" s="55"/>
    </row>
    <row r="69" spans="1:32" outlineLevel="1" x14ac:dyDescent="0.25">
      <c r="A69" s="51"/>
      <c r="B69" s="53">
        <v>6019</v>
      </c>
      <c r="C69" s="52" t="s">
        <v>87</v>
      </c>
      <c r="D69" s="52" t="s">
        <v>107</v>
      </c>
      <c r="E69" s="53">
        <v>3</v>
      </c>
      <c r="F69" s="53">
        <v>6</v>
      </c>
      <c r="G69" s="53">
        <v>9</v>
      </c>
      <c r="H69" s="54"/>
      <c r="I69" s="54"/>
      <c r="J69" s="54"/>
      <c r="K69" s="54"/>
      <c r="L69" s="54"/>
      <c r="M69" s="55"/>
      <c r="N69" s="55"/>
      <c r="O69" s="55"/>
      <c r="P69" s="55"/>
      <c r="Q69" s="55"/>
      <c r="R69" s="55"/>
      <c r="S69" s="54"/>
      <c r="T69" s="54"/>
      <c r="U69" s="55"/>
      <c r="V69" s="54"/>
      <c r="W69" s="55"/>
      <c r="X69" s="54"/>
      <c r="Y69" s="55"/>
      <c r="Z69" s="54"/>
      <c r="AA69" s="55"/>
      <c r="AB69" s="55"/>
      <c r="AC69" s="55"/>
      <c r="AD69" s="55"/>
      <c r="AE69" s="55"/>
      <c r="AF69" s="55"/>
    </row>
    <row r="70" spans="1:32" outlineLevel="1" x14ac:dyDescent="0.25">
      <c r="A70" s="51"/>
      <c r="B70" s="53">
        <v>2669</v>
      </c>
      <c r="C70" s="52" t="s">
        <v>82</v>
      </c>
      <c r="D70" s="52" t="s">
        <v>107</v>
      </c>
      <c r="E70" s="53">
        <v>3</v>
      </c>
      <c r="F70" s="53">
        <v>0</v>
      </c>
      <c r="G70" s="53">
        <v>3</v>
      </c>
      <c r="H70" s="54"/>
      <c r="I70" s="54"/>
      <c r="J70" s="54"/>
      <c r="K70" s="54"/>
      <c r="L70" s="54"/>
      <c r="M70" s="55"/>
      <c r="N70" s="55"/>
      <c r="O70" s="55"/>
      <c r="P70" s="55"/>
      <c r="Q70" s="55"/>
      <c r="R70" s="55"/>
      <c r="S70" s="54"/>
      <c r="T70" s="54"/>
      <c r="U70" s="55"/>
      <c r="V70" s="54"/>
      <c r="W70" s="55"/>
      <c r="X70" s="54"/>
      <c r="Y70" s="55"/>
      <c r="Z70" s="54"/>
      <c r="AA70" s="55"/>
      <c r="AB70" s="55"/>
      <c r="AC70" s="55"/>
      <c r="AD70" s="55"/>
      <c r="AE70" s="55"/>
      <c r="AF70" s="55"/>
    </row>
    <row r="71" spans="1:32" outlineLevel="1" x14ac:dyDescent="0.25">
      <c r="A71" s="51"/>
      <c r="B71" s="53">
        <v>4639</v>
      </c>
      <c r="C71" s="52" t="s">
        <v>81</v>
      </c>
      <c r="D71" s="52" t="s">
        <v>107</v>
      </c>
      <c r="E71" s="53">
        <v>3</v>
      </c>
      <c r="F71" s="53">
        <v>0</v>
      </c>
      <c r="G71" s="53">
        <v>3</v>
      </c>
      <c r="H71" s="54"/>
      <c r="I71" s="54"/>
      <c r="J71" s="54"/>
      <c r="K71" s="54"/>
      <c r="L71" s="54"/>
      <c r="M71" s="55"/>
      <c r="N71" s="55"/>
      <c r="O71" s="55"/>
      <c r="P71" s="55"/>
      <c r="Q71" s="55"/>
      <c r="R71" s="55"/>
      <c r="S71" s="54"/>
      <c r="T71" s="54"/>
      <c r="U71" s="55"/>
      <c r="V71" s="54"/>
      <c r="W71" s="55"/>
      <c r="X71" s="54"/>
      <c r="Y71" s="55"/>
      <c r="Z71" s="54"/>
      <c r="AA71" s="55"/>
      <c r="AB71" s="55"/>
      <c r="AC71" s="55"/>
      <c r="AD71" s="55"/>
      <c r="AE71" s="55"/>
      <c r="AF71" s="55"/>
    </row>
    <row r="72" spans="1:32" outlineLevel="1" x14ac:dyDescent="0.25">
      <c r="A72" s="51"/>
      <c r="B72" s="53">
        <v>2909</v>
      </c>
      <c r="C72" s="52" t="s">
        <v>108</v>
      </c>
      <c r="D72" s="52" t="s">
        <v>107</v>
      </c>
      <c r="E72" s="53">
        <v>7</v>
      </c>
      <c r="F72" s="53">
        <v>0</v>
      </c>
      <c r="G72" s="53">
        <v>7</v>
      </c>
      <c r="H72" s="54"/>
      <c r="I72" s="54"/>
      <c r="J72" s="54"/>
      <c r="K72" s="54"/>
      <c r="L72" s="54"/>
      <c r="M72" s="55"/>
      <c r="N72" s="55"/>
      <c r="O72" s="55"/>
      <c r="P72" s="55"/>
      <c r="Q72" s="55"/>
      <c r="R72" s="55"/>
      <c r="S72" s="54"/>
      <c r="T72" s="54"/>
      <c r="U72" s="55"/>
      <c r="V72" s="54"/>
      <c r="W72" s="55"/>
      <c r="X72" s="54"/>
      <c r="Y72" s="55"/>
      <c r="Z72" s="54"/>
      <c r="AA72" s="55"/>
      <c r="AB72" s="55"/>
      <c r="AC72" s="55"/>
      <c r="AD72" s="55"/>
      <c r="AE72" s="55"/>
      <c r="AF72" s="55"/>
    </row>
    <row r="73" spans="1:32" ht="15.75" customHeight="1" x14ac:dyDescent="0.25">
      <c r="A73" s="68">
        <v>15</v>
      </c>
      <c r="B73" s="69">
        <v>476091</v>
      </c>
      <c r="C73" s="68" t="s">
        <v>109</v>
      </c>
      <c r="D73" s="68"/>
      <c r="E73" s="69">
        <v>14</v>
      </c>
      <c r="F73" s="69">
        <v>6</v>
      </c>
      <c r="G73" s="69">
        <v>20</v>
      </c>
      <c r="H73" s="70"/>
      <c r="I73" s="70"/>
      <c r="J73" s="70"/>
      <c r="K73" s="70"/>
      <c r="L73" s="70"/>
      <c r="M73" s="71"/>
      <c r="N73" s="71"/>
      <c r="O73" s="71"/>
      <c r="P73" s="71"/>
      <c r="Q73" s="71"/>
      <c r="R73" s="71"/>
      <c r="S73" s="70"/>
      <c r="T73" s="70"/>
      <c r="U73" s="71"/>
      <c r="V73" s="70"/>
      <c r="W73" s="71"/>
      <c r="X73" s="70"/>
      <c r="Y73" s="71"/>
      <c r="Z73" s="70"/>
      <c r="AA73" s="71"/>
      <c r="AB73" s="71"/>
      <c r="AC73" s="71"/>
      <c r="AD73" s="71"/>
      <c r="AE73" s="71"/>
      <c r="AF73" s="71"/>
    </row>
    <row r="74" spans="1:32" outlineLevel="1" x14ac:dyDescent="0.25">
      <c r="A74" s="51"/>
      <c r="B74" s="53">
        <v>2703</v>
      </c>
      <c r="C74" s="52" t="s">
        <v>84</v>
      </c>
      <c r="D74" s="52" t="s">
        <v>109</v>
      </c>
      <c r="E74" s="53">
        <v>3</v>
      </c>
      <c r="F74" s="53">
        <v>0</v>
      </c>
      <c r="G74" s="53">
        <v>3</v>
      </c>
      <c r="H74" s="54"/>
      <c r="I74" s="54"/>
      <c r="J74" s="54"/>
      <c r="K74" s="54"/>
      <c r="L74" s="54"/>
      <c r="M74" s="55"/>
      <c r="N74" s="55"/>
      <c r="O74" s="55"/>
      <c r="P74" s="55"/>
      <c r="Q74" s="55"/>
      <c r="R74" s="55"/>
      <c r="S74" s="54"/>
      <c r="T74" s="54"/>
      <c r="U74" s="55"/>
      <c r="V74" s="54"/>
      <c r="W74" s="55"/>
      <c r="X74" s="54"/>
      <c r="Y74" s="55"/>
      <c r="Z74" s="54"/>
      <c r="AA74" s="55"/>
      <c r="AB74" s="55"/>
      <c r="AC74" s="55"/>
      <c r="AD74" s="55"/>
      <c r="AE74" s="55"/>
      <c r="AF74" s="55"/>
    </row>
    <row r="75" spans="1:32" outlineLevel="1" x14ac:dyDescent="0.25">
      <c r="A75" s="51"/>
      <c r="B75" s="53">
        <v>6019</v>
      </c>
      <c r="C75" s="52" t="s">
        <v>87</v>
      </c>
      <c r="D75" s="52" t="s">
        <v>109</v>
      </c>
      <c r="E75" s="53">
        <v>1</v>
      </c>
      <c r="F75" s="53">
        <v>6</v>
      </c>
      <c r="G75" s="53">
        <v>7</v>
      </c>
      <c r="H75" s="54"/>
      <c r="I75" s="54"/>
      <c r="J75" s="54"/>
      <c r="K75" s="54"/>
      <c r="L75" s="54"/>
      <c r="M75" s="55"/>
      <c r="N75" s="55"/>
      <c r="O75" s="55"/>
      <c r="P75" s="55"/>
      <c r="Q75" s="55"/>
      <c r="R75" s="55"/>
      <c r="S75" s="54"/>
      <c r="T75" s="54"/>
      <c r="U75" s="55"/>
      <c r="V75" s="54"/>
      <c r="W75" s="55"/>
      <c r="X75" s="54"/>
      <c r="Y75" s="55"/>
      <c r="Z75" s="54"/>
      <c r="AA75" s="55"/>
      <c r="AB75" s="55"/>
      <c r="AC75" s="55"/>
      <c r="AD75" s="55"/>
      <c r="AE75" s="55"/>
      <c r="AF75" s="55"/>
    </row>
    <row r="76" spans="1:32" outlineLevel="1" x14ac:dyDescent="0.25">
      <c r="A76" s="51"/>
      <c r="B76" s="53">
        <v>2669</v>
      </c>
      <c r="C76" s="52" t="s">
        <v>82</v>
      </c>
      <c r="D76" s="52" t="s">
        <v>109</v>
      </c>
      <c r="E76" s="53">
        <v>1</v>
      </c>
      <c r="F76" s="53">
        <v>0</v>
      </c>
      <c r="G76" s="53">
        <v>1</v>
      </c>
      <c r="H76" s="54"/>
      <c r="I76" s="54"/>
      <c r="J76" s="54"/>
      <c r="K76" s="54"/>
      <c r="L76" s="54"/>
      <c r="M76" s="55"/>
      <c r="N76" s="55"/>
      <c r="O76" s="55"/>
      <c r="P76" s="55"/>
      <c r="Q76" s="55"/>
      <c r="R76" s="55"/>
      <c r="S76" s="54"/>
      <c r="T76" s="54"/>
      <c r="U76" s="55"/>
      <c r="V76" s="54"/>
      <c r="W76" s="55"/>
      <c r="X76" s="54"/>
      <c r="Y76" s="55"/>
      <c r="Z76" s="54"/>
      <c r="AA76" s="55"/>
      <c r="AB76" s="55"/>
      <c r="AC76" s="55"/>
      <c r="AD76" s="55"/>
      <c r="AE76" s="55"/>
      <c r="AF76" s="55"/>
    </row>
    <row r="77" spans="1:32" outlineLevel="1" x14ac:dyDescent="0.25">
      <c r="A77" s="51"/>
      <c r="B77" s="53">
        <v>4639</v>
      </c>
      <c r="C77" s="52" t="s">
        <v>81</v>
      </c>
      <c r="D77" s="52" t="s">
        <v>109</v>
      </c>
      <c r="E77" s="53">
        <v>9</v>
      </c>
      <c r="F77" s="53">
        <v>0</v>
      </c>
      <c r="G77" s="53">
        <v>9</v>
      </c>
      <c r="H77" s="54"/>
      <c r="I77" s="54"/>
      <c r="J77" s="54"/>
      <c r="K77" s="54"/>
      <c r="L77" s="54"/>
      <c r="M77" s="55"/>
      <c r="N77" s="55"/>
      <c r="O77" s="55"/>
      <c r="P77" s="55"/>
      <c r="Q77" s="55"/>
      <c r="R77" s="55"/>
      <c r="S77" s="54"/>
      <c r="T77" s="54"/>
      <c r="U77" s="55"/>
      <c r="V77" s="54"/>
      <c r="W77" s="55"/>
      <c r="X77" s="54"/>
      <c r="Y77" s="55"/>
      <c r="Z77" s="54"/>
      <c r="AA77" s="55"/>
      <c r="AB77" s="55"/>
      <c r="AC77" s="55"/>
      <c r="AD77" s="55"/>
      <c r="AE77" s="55"/>
      <c r="AF77" s="55"/>
    </row>
    <row r="78" spans="1:32" ht="15.75" customHeight="1" x14ac:dyDescent="0.25">
      <c r="A78" s="68">
        <v>16</v>
      </c>
      <c r="B78" s="69">
        <v>478485</v>
      </c>
      <c r="C78" s="68" t="s">
        <v>110</v>
      </c>
      <c r="D78" s="68"/>
      <c r="E78" s="69">
        <v>13</v>
      </c>
      <c r="F78" s="69">
        <v>12</v>
      </c>
      <c r="G78" s="69">
        <v>25</v>
      </c>
      <c r="H78" s="70"/>
      <c r="I78" s="70"/>
      <c r="J78" s="70"/>
      <c r="K78" s="70"/>
      <c r="L78" s="70"/>
      <c r="M78" s="71"/>
      <c r="N78" s="71"/>
      <c r="O78" s="71"/>
      <c r="P78" s="71"/>
      <c r="Q78" s="71"/>
      <c r="R78" s="71"/>
      <c r="S78" s="70"/>
      <c r="T78" s="70"/>
      <c r="U78" s="71"/>
      <c r="V78" s="70"/>
      <c r="W78" s="71"/>
      <c r="X78" s="70"/>
      <c r="Y78" s="71"/>
      <c r="Z78" s="70"/>
      <c r="AA78" s="71"/>
      <c r="AB78" s="71"/>
      <c r="AC78" s="71"/>
      <c r="AD78" s="71"/>
      <c r="AE78" s="71"/>
      <c r="AF78" s="71"/>
    </row>
    <row r="79" spans="1:32" outlineLevel="1" x14ac:dyDescent="0.25">
      <c r="A79" s="51"/>
      <c r="B79" s="53">
        <v>2703</v>
      </c>
      <c r="C79" s="52" t="s">
        <v>84</v>
      </c>
      <c r="D79" s="52" t="s">
        <v>110</v>
      </c>
      <c r="E79" s="53">
        <v>1</v>
      </c>
      <c r="F79" s="53">
        <v>0</v>
      </c>
      <c r="G79" s="53">
        <v>1</v>
      </c>
      <c r="H79" s="54"/>
      <c r="I79" s="54"/>
      <c r="J79" s="54"/>
      <c r="K79" s="54"/>
      <c r="L79" s="54"/>
      <c r="M79" s="55"/>
      <c r="N79" s="55"/>
      <c r="O79" s="55"/>
      <c r="P79" s="55"/>
      <c r="Q79" s="55"/>
      <c r="R79" s="55"/>
      <c r="S79" s="54"/>
      <c r="T79" s="54"/>
      <c r="U79" s="55"/>
      <c r="V79" s="54"/>
      <c r="W79" s="55"/>
      <c r="X79" s="54"/>
      <c r="Y79" s="55"/>
      <c r="Z79" s="54"/>
      <c r="AA79" s="55"/>
      <c r="AB79" s="55"/>
      <c r="AC79" s="55"/>
      <c r="AD79" s="55"/>
      <c r="AE79" s="55"/>
      <c r="AF79" s="55"/>
    </row>
    <row r="80" spans="1:32" outlineLevel="1" x14ac:dyDescent="0.25">
      <c r="A80" s="51"/>
      <c r="B80" s="53">
        <v>2674</v>
      </c>
      <c r="C80" s="52" t="s">
        <v>85</v>
      </c>
      <c r="D80" s="52" t="s">
        <v>110</v>
      </c>
      <c r="E80" s="53">
        <v>2</v>
      </c>
      <c r="F80" s="53">
        <v>0</v>
      </c>
      <c r="G80" s="53">
        <v>2</v>
      </c>
      <c r="H80" s="54"/>
      <c r="I80" s="54"/>
      <c r="J80" s="54"/>
      <c r="K80" s="54"/>
      <c r="L80" s="54"/>
      <c r="M80" s="55"/>
      <c r="N80" s="55"/>
      <c r="O80" s="55"/>
      <c r="P80" s="55"/>
      <c r="Q80" s="55"/>
      <c r="R80" s="55"/>
      <c r="S80" s="54"/>
      <c r="T80" s="54"/>
      <c r="U80" s="55"/>
      <c r="V80" s="54"/>
      <c r="W80" s="55"/>
      <c r="X80" s="54"/>
      <c r="Y80" s="55"/>
      <c r="Z80" s="54"/>
      <c r="AA80" s="55"/>
      <c r="AB80" s="55"/>
      <c r="AC80" s="55"/>
      <c r="AD80" s="55"/>
      <c r="AE80" s="55"/>
      <c r="AF80" s="55"/>
    </row>
    <row r="81" spans="1:32" outlineLevel="1" x14ac:dyDescent="0.25">
      <c r="A81" s="51"/>
      <c r="B81" s="53">
        <v>3402</v>
      </c>
      <c r="C81" s="52" t="s">
        <v>86</v>
      </c>
      <c r="D81" s="52" t="s">
        <v>110</v>
      </c>
      <c r="E81" s="53">
        <v>0</v>
      </c>
      <c r="F81" s="53">
        <v>4</v>
      </c>
      <c r="G81" s="53">
        <v>4</v>
      </c>
      <c r="H81" s="54"/>
      <c r="I81" s="54"/>
      <c r="J81" s="54"/>
      <c r="K81" s="54"/>
      <c r="L81" s="54"/>
      <c r="M81" s="55"/>
      <c r="N81" s="55"/>
      <c r="O81" s="55"/>
      <c r="P81" s="55"/>
      <c r="Q81" s="55"/>
      <c r="R81" s="55"/>
      <c r="S81" s="54"/>
      <c r="T81" s="54"/>
      <c r="U81" s="55"/>
      <c r="V81" s="54"/>
      <c r="W81" s="55"/>
      <c r="X81" s="54"/>
      <c r="Y81" s="55"/>
      <c r="Z81" s="54"/>
      <c r="AA81" s="55"/>
      <c r="AB81" s="55"/>
      <c r="AC81" s="55"/>
      <c r="AD81" s="55"/>
      <c r="AE81" s="55"/>
      <c r="AF81" s="55"/>
    </row>
    <row r="82" spans="1:32" outlineLevel="1" x14ac:dyDescent="0.25">
      <c r="A82" s="51"/>
      <c r="B82" s="53">
        <v>6019</v>
      </c>
      <c r="C82" s="52" t="s">
        <v>87</v>
      </c>
      <c r="D82" s="52" t="s">
        <v>110</v>
      </c>
      <c r="E82" s="53">
        <v>3</v>
      </c>
      <c r="F82" s="53">
        <v>8</v>
      </c>
      <c r="G82" s="53">
        <v>11</v>
      </c>
      <c r="H82" s="54"/>
      <c r="I82" s="54"/>
      <c r="J82" s="54"/>
      <c r="K82" s="54"/>
      <c r="L82" s="54"/>
      <c r="M82" s="55"/>
      <c r="N82" s="55"/>
      <c r="O82" s="55"/>
      <c r="P82" s="55"/>
      <c r="Q82" s="55"/>
      <c r="R82" s="55"/>
      <c r="S82" s="54"/>
      <c r="T82" s="54"/>
      <c r="U82" s="55"/>
      <c r="V82" s="54"/>
      <c r="W82" s="55"/>
      <c r="X82" s="54"/>
      <c r="Y82" s="55"/>
      <c r="Z82" s="54"/>
      <c r="AA82" s="55"/>
      <c r="AB82" s="55"/>
      <c r="AC82" s="55"/>
      <c r="AD82" s="55"/>
      <c r="AE82" s="55"/>
      <c r="AF82" s="55"/>
    </row>
    <row r="83" spans="1:32" outlineLevel="1" x14ac:dyDescent="0.25">
      <c r="A83" s="51"/>
      <c r="B83" s="53">
        <v>2669</v>
      </c>
      <c r="C83" s="52" t="s">
        <v>82</v>
      </c>
      <c r="D83" s="52" t="s">
        <v>110</v>
      </c>
      <c r="E83" s="53">
        <v>2</v>
      </c>
      <c r="F83" s="53">
        <v>0</v>
      </c>
      <c r="G83" s="53">
        <v>2</v>
      </c>
      <c r="H83" s="54"/>
      <c r="I83" s="54"/>
      <c r="J83" s="54"/>
      <c r="K83" s="54"/>
      <c r="L83" s="54"/>
      <c r="M83" s="55"/>
      <c r="N83" s="55"/>
      <c r="O83" s="55"/>
      <c r="P83" s="55"/>
      <c r="Q83" s="55"/>
      <c r="R83" s="55"/>
      <c r="S83" s="54"/>
      <c r="T83" s="54"/>
      <c r="U83" s="55"/>
      <c r="V83" s="54"/>
      <c r="W83" s="55"/>
      <c r="X83" s="54"/>
      <c r="Y83" s="55"/>
      <c r="Z83" s="54"/>
      <c r="AA83" s="55"/>
      <c r="AB83" s="55"/>
      <c r="AC83" s="55"/>
      <c r="AD83" s="55"/>
      <c r="AE83" s="55"/>
      <c r="AF83" s="55"/>
    </row>
    <row r="84" spans="1:32" outlineLevel="1" x14ac:dyDescent="0.25">
      <c r="A84" s="51"/>
      <c r="B84" s="53">
        <v>4639</v>
      </c>
      <c r="C84" s="52" t="s">
        <v>81</v>
      </c>
      <c r="D84" s="52" t="s">
        <v>110</v>
      </c>
      <c r="E84" s="53">
        <v>5</v>
      </c>
      <c r="F84" s="53">
        <v>0</v>
      </c>
      <c r="G84" s="53">
        <v>5</v>
      </c>
      <c r="H84" s="54"/>
      <c r="I84" s="54"/>
      <c r="J84" s="54"/>
      <c r="K84" s="54"/>
      <c r="L84" s="54"/>
      <c r="M84" s="55"/>
      <c r="N84" s="55"/>
      <c r="O84" s="55"/>
      <c r="P84" s="55"/>
      <c r="Q84" s="55"/>
      <c r="R84" s="55"/>
      <c r="S84" s="54"/>
      <c r="T84" s="54"/>
      <c r="U84" s="55"/>
      <c r="V84" s="54"/>
      <c r="W84" s="55"/>
      <c r="X84" s="54"/>
      <c r="Y84" s="55"/>
      <c r="Z84" s="54"/>
      <c r="AA84" s="55"/>
      <c r="AB84" s="55"/>
      <c r="AC84" s="55"/>
      <c r="AD84" s="55"/>
      <c r="AE84" s="55"/>
      <c r="AF84" s="55"/>
    </row>
    <row r="85" spans="1:32" ht="15.75" customHeight="1" x14ac:dyDescent="0.25">
      <c r="A85" s="68">
        <v>17</v>
      </c>
      <c r="B85" s="69">
        <v>478232</v>
      </c>
      <c r="C85" s="68" t="s">
        <v>111</v>
      </c>
      <c r="D85" s="68"/>
      <c r="E85" s="69">
        <v>24</v>
      </c>
      <c r="F85" s="69">
        <v>23</v>
      </c>
      <c r="G85" s="69">
        <v>47</v>
      </c>
      <c r="H85" s="70"/>
      <c r="I85" s="70"/>
      <c r="J85" s="70"/>
      <c r="K85" s="70"/>
      <c r="L85" s="70"/>
      <c r="M85" s="71"/>
      <c r="N85" s="71"/>
      <c r="O85" s="71"/>
      <c r="P85" s="71"/>
      <c r="Q85" s="71"/>
      <c r="R85" s="71"/>
      <c r="S85" s="70"/>
      <c r="T85" s="70"/>
      <c r="U85" s="71"/>
      <c r="V85" s="70"/>
      <c r="W85" s="71"/>
      <c r="X85" s="70"/>
      <c r="Y85" s="71"/>
      <c r="Z85" s="70"/>
      <c r="AA85" s="71"/>
      <c r="AB85" s="71"/>
      <c r="AC85" s="71"/>
      <c r="AD85" s="71"/>
      <c r="AE85" s="71"/>
      <c r="AF85" s="71"/>
    </row>
    <row r="86" spans="1:32" outlineLevel="1" x14ac:dyDescent="0.25">
      <c r="A86" s="51"/>
      <c r="B86" s="53">
        <v>2703</v>
      </c>
      <c r="C86" s="52" t="s">
        <v>84</v>
      </c>
      <c r="D86" s="52" t="s">
        <v>111</v>
      </c>
      <c r="E86" s="53">
        <v>3</v>
      </c>
      <c r="F86" s="53">
        <v>0</v>
      </c>
      <c r="G86" s="53">
        <v>3</v>
      </c>
      <c r="H86" s="54"/>
      <c r="I86" s="54"/>
      <c r="J86" s="54"/>
      <c r="K86" s="54"/>
      <c r="L86" s="54"/>
      <c r="M86" s="55"/>
      <c r="N86" s="55"/>
      <c r="O86" s="55"/>
      <c r="P86" s="55"/>
      <c r="Q86" s="55"/>
      <c r="R86" s="55"/>
      <c r="S86" s="54"/>
      <c r="T86" s="54"/>
      <c r="U86" s="55"/>
      <c r="V86" s="54"/>
      <c r="W86" s="55"/>
      <c r="X86" s="54"/>
      <c r="Y86" s="55"/>
      <c r="Z86" s="54"/>
      <c r="AA86" s="55"/>
      <c r="AB86" s="55"/>
      <c r="AC86" s="55"/>
      <c r="AD86" s="55"/>
      <c r="AE86" s="55"/>
      <c r="AF86" s="55"/>
    </row>
    <row r="87" spans="1:32" outlineLevel="1" x14ac:dyDescent="0.25">
      <c r="A87" s="51"/>
      <c r="B87" s="53">
        <v>4540</v>
      </c>
      <c r="C87" s="52" t="s">
        <v>83</v>
      </c>
      <c r="D87" s="52" t="s">
        <v>111</v>
      </c>
      <c r="E87" s="53">
        <v>3</v>
      </c>
      <c r="F87" s="53">
        <v>0</v>
      </c>
      <c r="G87" s="53">
        <v>3</v>
      </c>
      <c r="H87" s="54"/>
      <c r="I87" s="54"/>
      <c r="J87" s="54"/>
      <c r="K87" s="54"/>
      <c r="L87" s="54"/>
      <c r="M87" s="55"/>
      <c r="N87" s="55"/>
      <c r="O87" s="55"/>
      <c r="P87" s="55"/>
      <c r="Q87" s="55"/>
      <c r="R87" s="55"/>
      <c r="S87" s="54"/>
      <c r="T87" s="54"/>
      <c r="U87" s="55"/>
      <c r="V87" s="54"/>
      <c r="W87" s="55"/>
      <c r="X87" s="54"/>
      <c r="Y87" s="55"/>
      <c r="Z87" s="54"/>
      <c r="AA87" s="55"/>
      <c r="AB87" s="55"/>
      <c r="AC87" s="55"/>
      <c r="AD87" s="55"/>
      <c r="AE87" s="55"/>
      <c r="AF87" s="55"/>
    </row>
    <row r="88" spans="1:32" outlineLevel="1" x14ac:dyDescent="0.25">
      <c r="A88" s="51"/>
      <c r="B88" s="53">
        <v>2674</v>
      </c>
      <c r="C88" s="52" t="s">
        <v>85</v>
      </c>
      <c r="D88" s="52" t="s">
        <v>111</v>
      </c>
      <c r="E88" s="53">
        <v>5</v>
      </c>
      <c r="F88" s="53">
        <v>0</v>
      </c>
      <c r="G88" s="53">
        <v>5</v>
      </c>
      <c r="H88" s="54"/>
      <c r="I88" s="54"/>
      <c r="J88" s="54"/>
      <c r="K88" s="54"/>
      <c r="L88" s="54"/>
      <c r="M88" s="55"/>
      <c r="N88" s="55"/>
      <c r="O88" s="55"/>
      <c r="P88" s="55"/>
      <c r="Q88" s="55"/>
      <c r="R88" s="55"/>
      <c r="S88" s="54"/>
      <c r="T88" s="54"/>
      <c r="U88" s="55"/>
      <c r="V88" s="54"/>
      <c r="W88" s="55"/>
      <c r="X88" s="54"/>
      <c r="Y88" s="55"/>
      <c r="Z88" s="54"/>
      <c r="AA88" s="55"/>
      <c r="AB88" s="55"/>
      <c r="AC88" s="55"/>
      <c r="AD88" s="55"/>
      <c r="AE88" s="55"/>
      <c r="AF88" s="55"/>
    </row>
    <row r="89" spans="1:32" outlineLevel="1" x14ac:dyDescent="0.25">
      <c r="A89" s="51"/>
      <c r="B89" s="53">
        <v>3402</v>
      </c>
      <c r="C89" s="52" t="s">
        <v>86</v>
      </c>
      <c r="D89" s="52" t="s">
        <v>111</v>
      </c>
      <c r="E89" s="53">
        <v>0</v>
      </c>
      <c r="F89" s="53">
        <v>9</v>
      </c>
      <c r="G89" s="53">
        <v>9</v>
      </c>
      <c r="H89" s="54"/>
      <c r="I89" s="54"/>
      <c r="J89" s="54"/>
      <c r="K89" s="54"/>
      <c r="L89" s="54"/>
      <c r="M89" s="55"/>
      <c r="N89" s="55"/>
      <c r="O89" s="55"/>
      <c r="P89" s="55"/>
      <c r="Q89" s="55"/>
      <c r="R89" s="55"/>
      <c r="S89" s="54"/>
      <c r="T89" s="54"/>
      <c r="U89" s="55"/>
      <c r="V89" s="54"/>
      <c r="W89" s="55"/>
      <c r="X89" s="54"/>
      <c r="Y89" s="55"/>
      <c r="Z89" s="54"/>
      <c r="AA89" s="55"/>
      <c r="AB89" s="55"/>
      <c r="AC89" s="55"/>
      <c r="AD89" s="55"/>
      <c r="AE89" s="55"/>
      <c r="AF89" s="55"/>
    </row>
    <row r="90" spans="1:32" outlineLevel="1" x14ac:dyDescent="0.25">
      <c r="A90" s="51"/>
      <c r="B90" s="53">
        <v>6019</v>
      </c>
      <c r="C90" s="52" t="s">
        <v>87</v>
      </c>
      <c r="D90" s="52" t="s">
        <v>111</v>
      </c>
      <c r="E90" s="53">
        <v>5</v>
      </c>
      <c r="F90" s="53">
        <v>14</v>
      </c>
      <c r="G90" s="53">
        <v>19</v>
      </c>
      <c r="H90" s="54"/>
      <c r="I90" s="54"/>
      <c r="J90" s="54"/>
      <c r="K90" s="54"/>
      <c r="L90" s="54"/>
      <c r="M90" s="55"/>
      <c r="N90" s="55"/>
      <c r="O90" s="55"/>
      <c r="P90" s="55"/>
      <c r="Q90" s="55"/>
      <c r="R90" s="55"/>
      <c r="S90" s="54"/>
      <c r="T90" s="54"/>
      <c r="U90" s="55"/>
      <c r="V90" s="54"/>
      <c r="W90" s="55"/>
      <c r="X90" s="54"/>
      <c r="Y90" s="55"/>
      <c r="Z90" s="54"/>
      <c r="AA90" s="55"/>
      <c r="AB90" s="55"/>
      <c r="AC90" s="55"/>
      <c r="AD90" s="55"/>
      <c r="AE90" s="55"/>
      <c r="AF90" s="55"/>
    </row>
    <row r="91" spans="1:32" outlineLevel="1" x14ac:dyDescent="0.25">
      <c r="A91" s="51"/>
      <c r="B91" s="53">
        <v>2669</v>
      </c>
      <c r="C91" s="52" t="s">
        <v>82</v>
      </c>
      <c r="D91" s="52" t="s">
        <v>111</v>
      </c>
      <c r="E91" s="53">
        <v>2</v>
      </c>
      <c r="F91" s="53">
        <v>0</v>
      </c>
      <c r="G91" s="53">
        <v>2</v>
      </c>
      <c r="H91" s="54"/>
      <c r="I91" s="54"/>
      <c r="J91" s="54"/>
      <c r="K91" s="54"/>
      <c r="L91" s="54"/>
      <c r="M91" s="55"/>
      <c r="N91" s="55"/>
      <c r="O91" s="55"/>
      <c r="P91" s="55"/>
      <c r="Q91" s="55"/>
      <c r="R91" s="55"/>
      <c r="S91" s="54"/>
      <c r="T91" s="54"/>
      <c r="U91" s="55"/>
      <c r="V91" s="54"/>
      <c r="W91" s="55"/>
      <c r="X91" s="54"/>
      <c r="Y91" s="55"/>
      <c r="Z91" s="54"/>
      <c r="AA91" s="55"/>
      <c r="AB91" s="55"/>
      <c r="AC91" s="55"/>
      <c r="AD91" s="55"/>
      <c r="AE91" s="55"/>
      <c r="AF91" s="55"/>
    </row>
    <row r="92" spans="1:32" outlineLevel="1" x14ac:dyDescent="0.25">
      <c r="A92" s="51"/>
      <c r="B92" s="53">
        <v>4639</v>
      </c>
      <c r="C92" s="52" t="s">
        <v>81</v>
      </c>
      <c r="D92" s="52" t="s">
        <v>111</v>
      </c>
      <c r="E92" s="53">
        <v>6</v>
      </c>
      <c r="F92" s="53">
        <v>0</v>
      </c>
      <c r="G92" s="53">
        <v>6</v>
      </c>
      <c r="H92" s="54"/>
      <c r="I92" s="54"/>
      <c r="J92" s="54"/>
      <c r="K92" s="54"/>
      <c r="L92" s="54"/>
      <c r="M92" s="55"/>
      <c r="N92" s="55"/>
      <c r="O92" s="55"/>
      <c r="P92" s="55"/>
      <c r="Q92" s="55"/>
      <c r="R92" s="55"/>
      <c r="S92" s="54"/>
      <c r="T92" s="54"/>
      <c r="U92" s="55"/>
      <c r="V92" s="54"/>
      <c r="W92" s="55"/>
      <c r="X92" s="54"/>
      <c r="Y92" s="55"/>
      <c r="Z92" s="54"/>
      <c r="AA92" s="55"/>
      <c r="AB92" s="55"/>
      <c r="AC92" s="55"/>
      <c r="AD92" s="55"/>
      <c r="AE92" s="55"/>
      <c r="AF92" s="55"/>
    </row>
    <row r="93" spans="1:32" ht="15.75" customHeight="1" x14ac:dyDescent="0.25">
      <c r="A93" s="72"/>
      <c r="B93" s="73"/>
      <c r="C93" s="72" t="s">
        <v>112</v>
      </c>
      <c r="D93" s="72"/>
      <c r="E93" s="73">
        <v>366</v>
      </c>
      <c r="F93" s="73">
        <v>274</v>
      </c>
      <c r="G93" s="73">
        <v>640</v>
      </c>
      <c r="H93" s="74"/>
      <c r="I93" s="74"/>
      <c r="J93" s="74"/>
      <c r="K93" s="74"/>
      <c r="L93" s="74"/>
      <c r="M93" s="75"/>
      <c r="N93" s="75"/>
      <c r="O93" s="75"/>
      <c r="P93" s="75"/>
      <c r="Q93" s="75"/>
      <c r="R93" s="75"/>
      <c r="S93" s="74"/>
      <c r="T93" s="74"/>
      <c r="U93" s="75"/>
      <c r="V93" s="74"/>
      <c r="W93" s="75"/>
      <c r="X93" s="74"/>
      <c r="Y93" s="75"/>
      <c r="Z93" s="74"/>
      <c r="AA93" s="75"/>
      <c r="AB93" s="75"/>
      <c r="AC93" s="75"/>
      <c r="AD93" s="75"/>
      <c r="AE93" s="75"/>
      <c r="AF93" s="75"/>
    </row>
  </sheetData>
  <mergeCells count="12">
    <mergeCell ref="X5:Y5"/>
    <mergeCell ref="Z5:AA5"/>
    <mergeCell ref="AE1:AF1"/>
    <mergeCell ref="A4:A5"/>
    <mergeCell ref="E4:G4"/>
    <mergeCell ref="H4:L4"/>
    <mergeCell ref="M4:Q4"/>
    <mergeCell ref="R4:AA4"/>
    <mergeCell ref="AB4:AF4"/>
    <mergeCell ref="R5:S5"/>
    <mergeCell ref="T5:U5"/>
    <mergeCell ref="V5:W5"/>
  </mergeCells>
  <conditionalFormatting sqref="M94:Q1048576 M2:Q43">
    <cfRule type="cellIs" dxfId="27" priority="28" operator="equal">
      <formula>0</formula>
    </cfRule>
  </conditionalFormatting>
  <conditionalFormatting sqref="AB94:AF1048576 AB2:AF43">
    <cfRule type="cellIs" dxfId="26" priority="27" operator="equal">
      <formula>0</formula>
    </cfRule>
  </conditionalFormatting>
  <conditionalFormatting sqref="E94:G1048576 E2:G43">
    <cfRule type="cellIs" dxfId="25" priority="26" operator="equal">
      <formula>0</formula>
    </cfRule>
  </conditionalFormatting>
  <conditionalFormatting sqref="M44:Q50">
    <cfRule type="cellIs" dxfId="24" priority="25" operator="equal">
      <formula>0</formula>
    </cfRule>
  </conditionalFormatting>
  <conditionalFormatting sqref="AB44:AF50">
    <cfRule type="cellIs" dxfId="23" priority="24" operator="equal">
      <formula>0</formula>
    </cfRule>
  </conditionalFormatting>
  <conditionalFormatting sqref="E44:G50">
    <cfRule type="cellIs" dxfId="22" priority="23" operator="equal">
      <formula>0</formula>
    </cfRule>
  </conditionalFormatting>
  <conditionalFormatting sqref="M51:Q57">
    <cfRule type="cellIs" dxfId="21" priority="22" operator="equal">
      <formula>0</formula>
    </cfRule>
  </conditionalFormatting>
  <conditionalFormatting sqref="AB51:AF57">
    <cfRule type="cellIs" dxfId="20" priority="21" operator="equal">
      <formula>0</formula>
    </cfRule>
  </conditionalFormatting>
  <conditionalFormatting sqref="E51:G57">
    <cfRule type="cellIs" dxfId="19" priority="20" operator="equal">
      <formula>0</formula>
    </cfRule>
  </conditionalFormatting>
  <conditionalFormatting sqref="M58:Q64">
    <cfRule type="cellIs" dxfId="18" priority="19" operator="equal">
      <formula>0</formula>
    </cfRule>
  </conditionalFormatting>
  <conditionalFormatting sqref="AB58:AF64">
    <cfRule type="cellIs" dxfId="17" priority="18" operator="equal">
      <formula>0</formula>
    </cfRule>
  </conditionalFormatting>
  <conditionalFormatting sqref="E58:G64">
    <cfRule type="cellIs" dxfId="16" priority="17" operator="equal">
      <formula>0</formula>
    </cfRule>
  </conditionalFormatting>
  <conditionalFormatting sqref="M65:Q72">
    <cfRule type="cellIs" dxfId="15" priority="16" operator="equal">
      <formula>0</formula>
    </cfRule>
  </conditionalFormatting>
  <conditionalFormatting sqref="AB65:AF72">
    <cfRule type="cellIs" dxfId="14" priority="15" operator="equal">
      <formula>0</formula>
    </cfRule>
  </conditionalFormatting>
  <conditionalFormatting sqref="E65:G72">
    <cfRule type="cellIs" dxfId="13" priority="14" operator="equal">
      <formula>0</formula>
    </cfRule>
  </conditionalFormatting>
  <conditionalFormatting sqref="M73:Q77">
    <cfRule type="cellIs" dxfId="12" priority="13" operator="equal">
      <formula>0</formula>
    </cfRule>
  </conditionalFormatting>
  <conditionalFormatting sqref="AB73:AF77">
    <cfRule type="cellIs" dxfId="11" priority="12" operator="equal">
      <formula>0</formula>
    </cfRule>
  </conditionalFormatting>
  <conditionalFormatting sqref="E73:G77">
    <cfRule type="cellIs" dxfId="10" priority="11" operator="equal">
      <formula>0</formula>
    </cfRule>
  </conditionalFormatting>
  <conditionalFormatting sqref="M78:Q84">
    <cfRule type="cellIs" dxfId="9" priority="10" operator="equal">
      <formula>0</formula>
    </cfRule>
  </conditionalFormatting>
  <conditionalFormatting sqref="AB78:AF84">
    <cfRule type="cellIs" dxfId="8" priority="9" operator="equal">
      <formula>0</formula>
    </cfRule>
  </conditionalFormatting>
  <conditionalFormatting sqref="E78:G84">
    <cfRule type="cellIs" dxfId="7" priority="8" operator="equal">
      <formula>0</formula>
    </cfRule>
  </conditionalFormatting>
  <conditionalFormatting sqref="M85:Q92">
    <cfRule type="cellIs" dxfId="6" priority="7" operator="equal">
      <formula>0</formula>
    </cfRule>
  </conditionalFormatting>
  <conditionalFormatting sqref="AB85:AF92">
    <cfRule type="cellIs" dxfId="5" priority="6" operator="equal">
      <formula>0</formula>
    </cfRule>
  </conditionalFormatting>
  <conditionalFormatting sqref="E85:G92">
    <cfRule type="cellIs" dxfId="4" priority="5" operator="equal">
      <formula>0</formula>
    </cfRule>
  </conditionalFormatting>
  <conditionalFormatting sqref="M93:Q93">
    <cfRule type="cellIs" dxfId="3" priority="4" operator="equal">
      <formula>0</formula>
    </cfRule>
  </conditionalFormatting>
  <conditionalFormatting sqref="AB93:AF93">
    <cfRule type="cellIs" dxfId="2" priority="3" operator="equal">
      <formula>0</formula>
    </cfRule>
  </conditionalFormatting>
  <conditionalFormatting sqref="E93:G93">
    <cfRule type="cellIs" dxfId="1" priority="2" operator="equal">
      <formula>0</formula>
    </cfRule>
  </conditionalFormatting>
  <conditionalFormatting sqref="AE1">
    <cfRule type="cellIs" dxfId="0" priority="1" operator="equal">
      <formula>0</formula>
    </cfRule>
  </conditionalFormatting>
  <pageMargins left="0" right="0" top="0" bottom="0" header="0" footer="0"/>
  <pageSetup paperSize="9" scale="4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outlinePr summaryBelow="0"/>
    <pageSetUpPr fitToPage="1"/>
  </sheetPr>
  <dimension ref="A1:AU12"/>
  <sheetViews>
    <sheetView showZeros="0" tabSelected="1" zoomScale="85" zoomScaleNormal="85" workbookViewId="0">
      <pane xSplit="7" ySplit="9" topLeftCell="H10" activePane="bottomRight" state="frozen"/>
      <selection activeCell="AJ21" sqref="AJ21"/>
      <selection pane="topRight" activeCell="AJ21" sqref="AJ21"/>
      <selection pane="bottomLeft" activeCell="AJ21" sqref="AJ21"/>
      <selection pane="bottomRight" activeCell="G18" sqref="G18"/>
    </sheetView>
  </sheetViews>
  <sheetFormatPr defaultRowHeight="12.75" outlineLevelRow="1" outlineLevelCol="1" x14ac:dyDescent="0.25"/>
  <cols>
    <col min="1" max="1" width="4.5703125" style="2" customWidth="1"/>
    <col min="2" max="2" width="11.28515625" style="12" customWidth="1"/>
    <col min="3" max="3" width="18.5703125" style="12" customWidth="1" outlineLevel="1"/>
    <col min="4" max="4" width="13.7109375" style="12" customWidth="1" outlineLevel="1"/>
    <col min="5" max="5" width="17.28515625" style="12" customWidth="1" outlineLevel="1"/>
    <col min="6" max="6" width="15" style="2" customWidth="1" outlineLevel="1"/>
    <col min="7" max="7" width="43.85546875" style="2" customWidth="1"/>
    <col min="8" max="8" width="6" style="27" customWidth="1"/>
    <col min="9" max="11" width="6" style="1" customWidth="1" outlineLevel="1"/>
    <col min="12" max="12" width="6" style="1" customWidth="1"/>
    <col min="13" max="15" width="6" style="1" customWidth="1" outlineLevel="1"/>
    <col min="16" max="16" width="6" style="1" customWidth="1"/>
    <col min="17" max="17" width="13.85546875" style="1" customWidth="1" outlineLevel="1"/>
    <col min="18" max="20" width="6" style="1" customWidth="1" outlineLevel="1"/>
    <col min="21" max="21" width="6" style="1" customWidth="1"/>
    <col min="22" max="22" width="13.85546875" style="1" customWidth="1" outlineLevel="1"/>
    <col min="23" max="25" width="6" style="1" customWidth="1" outlineLevel="1"/>
    <col min="26" max="26" width="6" style="1" customWidth="1"/>
    <col min="27" max="27" width="13.85546875" style="1" customWidth="1" outlineLevel="1"/>
    <col min="28" max="29" width="6" style="1" customWidth="1"/>
    <col min="30" max="30" width="6" style="1" customWidth="1" outlineLevel="1"/>
    <col min="31" max="32" width="5.85546875" style="1" customWidth="1" outlineLevel="1"/>
    <col min="33" max="33" width="5.85546875" style="1" customWidth="1"/>
    <col min="34" max="36" width="7.42578125" style="10" customWidth="1" outlineLevel="1"/>
    <col min="37" max="37" width="7.42578125" style="10" customWidth="1"/>
    <col min="38" max="40" width="7.42578125" style="10" customWidth="1" outlineLevel="1"/>
    <col min="41" max="42" width="6" style="1" customWidth="1"/>
    <col min="43" max="45" width="6" style="1" customWidth="1" outlineLevel="1"/>
    <col min="46" max="46" width="6" style="1" customWidth="1"/>
    <col min="47" max="16384" width="9.140625" style="2"/>
  </cols>
  <sheetData>
    <row r="1" spans="1:47" x14ac:dyDescent="0.25"/>
    <row r="2" spans="1:47" x14ac:dyDescent="0.25">
      <c r="F2" s="8" t="s">
        <v>51</v>
      </c>
      <c r="G2" s="8" t="s">
        <v>20</v>
      </c>
      <c r="H2" s="23"/>
      <c r="AH2" s="1"/>
      <c r="AI2" s="1"/>
      <c r="AJ2" s="1"/>
      <c r="AK2" s="1"/>
      <c r="AL2" s="1"/>
      <c r="AM2" s="1"/>
      <c r="AN2" s="1"/>
    </row>
    <row r="3" spans="1:47" ht="12.75" customHeight="1" x14ac:dyDescent="0.25">
      <c r="F3" s="9" t="s">
        <v>62</v>
      </c>
      <c r="G3" s="9" t="s">
        <v>63</v>
      </c>
      <c r="H3" s="24"/>
      <c r="AH3" s="1"/>
      <c r="AI3" s="1"/>
      <c r="AJ3" s="1"/>
      <c r="AK3" s="1"/>
      <c r="AL3" s="1"/>
      <c r="AM3" s="1"/>
      <c r="AN3" s="1"/>
    </row>
    <row r="5" spans="1:47" s="1" customFormat="1" ht="18.75" customHeight="1" x14ac:dyDescent="0.25">
      <c r="A5" s="97" t="s">
        <v>7</v>
      </c>
      <c r="B5" s="17"/>
      <c r="C5" s="18"/>
      <c r="D5" s="18"/>
      <c r="E5" s="18"/>
      <c r="F5" s="19"/>
      <c r="G5" s="125" t="s">
        <v>0</v>
      </c>
      <c r="H5" s="98" t="s">
        <v>3</v>
      </c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3" t="s">
        <v>66</v>
      </c>
    </row>
    <row r="6" spans="1:47" s="1" customFormat="1" ht="13.5" customHeight="1" x14ac:dyDescent="0.25">
      <c r="A6" s="97"/>
      <c r="B6" s="20"/>
      <c r="C6" s="21"/>
      <c r="D6" s="21"/>
      <c r="E6" s="21"/>
      <c r="F6" s="22"/>
      <c r="G6" s="126"/>
      <c r="H6" s="99"/>
      <c r="I6" s="101" t="s">
        <v>4</v>
      </c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31"/>
      <c r="AD6" s="119" t="s">
        <v>8</v>
      </c>
      <c r="AE6" s="120"/>
      <c r="AF6" s="120"/>
      <c r="AG6" s="121"/>
      <c r="AH6" s="111" t="s">
        <v>15</v>
      </c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3"/>
      <c r="AU6" s="93"/>
    </row>
    <row r="7" spans="1:47" s="1" customFormat="1" ht="13.5" customHeight="1" x14ac:dyDescent="0.25">
      <c r="A7" s="97"/>
      <c r="B7" s="94" t="s">
        <v>48</v>
      </c>
      <c r="C7" s="94" t="s">
        <v>22</v>
      </c>
      <c r="D7" s="94" t="s">
        <v>18</v>
      </c>
      <c r="E7" s="94" t="s">
        <v>47</v>
      </c>
      <c r="F7" s="105" t="s">
        <v>23</v>
      </c>
      <c r="G7" s="105" t="s">
        <v>19</v>
      </c>
      <c r="H7" s="99"/>
      <c r="I7" s="101" t="s">
        <v>5</v>
      </c>
      <c r="J7" s="101"/>
      <c r="K7" s="101"/>
      <c r="L7" s="101"/>
      <c r="M7" s="101" t="s">
        <v>6</v>
      </c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16" t="s">
        <v>49</v>
      </c>
      <c r="AD7" s="122" t="s">
        <v>6</v>
      </c>
      <c r="AE7" s="122"/>
      <c r="AF7" s="122"/>
      <c r="AG7" s="122"/>
      <c r="AH7" s="102" t="s">
        <v>16</v>
      </c>
      <c r="AI7" s="103"/>
      <c r="AJ7" s="103"/>
      <c r="AK7" s="103"/>
      <c r="AL7" s="103"/>
      <c r="AM7" s="103"/>
      <c r="AN7" s="103"/>
      <c r="AO7" s="103"/>
      <c r="AP7" s="104"/>
      <c r="AQ7" s="102" t="s">
        <v>17</v>
      </c>
      <c r="AR7" s="103"/>
      <c r="AS7" s="103"/>
      <c r="AT7" s="104"/>
      <c r="AU7" s="93"/>
    </row>
    <row r="8" spans="1:47" s="1" customFormat="1" ht="13.5" customHeight="1" x14ac:dyDescent="0.25">
      <c r="A8" s="97"/>
      <c r="B8" s="95"/>
      <c r="C8" s="95"/>
      <c r="D8" s="95"/>
      <c r="E8" s="95"/>
      <c r="F8" s="106"/>
      <c r="G8" s="106"/>
      <c r="H8" s="99"/>
      <c r="I8" s="101" t="s">
        <v>2</v>
      </c>
      <c r="J8" s="101" t="s">
        <v>13</v>
      </c>
      <c r="K8" s="101" t="s">
        <v>14</v>
      </c>
      <c r="L8" s="101" t="s">
        <v>10</v>
      </c>
      <c r="M8" s="108" t="s">
        <v>2</v>
      </c>
      <c r="N8" s="109"/>
      <c r="O8" s="109"/>
      <c r="P8" s="109"/>
      <c r="Q8" s="110"/>
      <c r="R8" s="108" t="s">
        <v>13</v>
      </c>
      <c r="S8" s="109"/>
      <c r="T8" s="109"/>
      <c r="U8" s="109"/>
      <c r="V8" s="110"/>
      <c r="W8" s="108" t="s">
        <v>14</v>
      </c>
      <c r="X8" s="109"/>
      <c r="Y8" s="109"/>
      <c r="Z8" s="109"/>
      <c r="AA8" s="110"/>
      <c r="AB8" s="101" t="s">
        <v>10</v>
      </c>
      <c r="AC8" s="117"/>
      <c r="AD8" s="123" t="s">
        <v>2</v>
      </c>
      <c r="AE8" s="123" t="s">
        <v>13</v>
      </c>
      <c r="AF8" s="123" t="s">
        <v>14</v>
      </c>
      <c r="AG8" s="123" t="s">
        <v>1</v>
      </c>
      <c r="AH8" s="102" t="s">
        <v>5</v>
      </c>
      <c r="AI8" s="103"/>
      <c r="AJ8" s="103"/>
      <c r="AK8" s="104"/>
      <c r="AL8" s="102" t="s">
        <v>6</v>
      </c>
      <c r="AM8" s="103"/>
      <c r="AN8" s="103"/>
      <c r="AO8" s="104"/>
      <c r="AP8" s="114" t="s">
        <v>49</v>
      </c>
      <c r="AQ8" s="102" t="s">
        <v>6</v>
      </c>
      <c r="AR8" s="103"/>
      <c r="AS8" s="103"/>
      <c r="AT8" s="104"/>
      <c r="AU8" s="93"/>
    </row>
    <row r="9" spans="1:47" s="1" customFormat="1" ht="15" customHeight="1" x14ac:dyDescent="0.25">
      <c r="A9" s="97"/>
      <c r="B9" s="96"/>
      <c r="C9" s="96"/>
      <c r="D9" s="96"/>
      <c r="E9" s="96"/>
      <c r="F9" s="107"/>
      <c r="G9" s="107"/>
      <c r="H9" s="100"/>
      <c r="I9" s="101"/>
      <c r="J9" s="101"/>
      <c r="K9" s="101"/>
      <c r="L9" s="101"/>
      <c r="M9" s="16" t="s">
        <v>11</v>
      </c>
      <c r="N9" s="16" t="s">
        <v>9</v>
      </c>
      <c r="O9" s="16" t="s">
        <v>24</v>
      </c>
      <c r="P9" s="16" t="s">
        <v>10</v>
      </c>
      <c r="Q9" s="28" t="s">
        <v>21</v>
      </c>
      <c r="R9" s="16" t="s">
        <v>11</v>
      </c>
      <c r="S9" s="16" t="s">
        <v>9</v>
      </c>
      <c r="T9" s="16" t="s">
        <v>24</v>
      </c>
      <c r="U9" s="16" t="s">
        <v>10</v>
      </c>
      <c r="V9" s="28" t="s">
        <v>21</v>
      </c>
      <c r="W9" s="16" t="s">
        <v>11</v>
      </c>
      <c r="X9" s="16" t="s">
        <v>9</v>
      </c>
      <c r="Y9" s="16" t="s">
        <v>24</v>
      </c>
      <c r="Z9" s="16" t="s">
        <v>10</v>
      </c>
      <c r="AA9" s="28" t="s">
        <v>21</v>
      </c>
      <c r="AB9" s="101"/>
      <c r="AC9" s="118"/>
      <c r="AD9" s="124"/>
      <c r="AE9" s="124"/>
      <c r="AF9" s="124"/>
      <c r="AG9" s="124"/>
      <c r="AH9" s="30" t="s">
        <v>2</v>
      </c>
      <c r="AI9" s="30" t="s">
        <v>13</v>
      </c>
      <c r="AJ9" s="30" t="s">
        <v>14</v>
      </c>
      <c r="AK9" s="30" t="s">
        <v>50</v>
      </c>
      <c r="AL9" s="30" t="s">
        <v>2</v>
      </c>
      <c r="AM9" s="30" t="s">
        <v>13</v>
      </c>
      <c r="AN9" s="30" t="s">
        <v>14</v>
      </c>
      <c r="AO9" s="30" t="s">
        <v>50</v>
      </c>
      <c r="AP9" s="115"/>
      <c r="AQ9" s="30" t="s">
        <v>2</v>
      </c>
      <c r="AR9" s="30" t="s">
        <v>13</v>
      </c>
      <c r="AS9" s="30" t="s">
        <v>14</v>
      </c>
      <c r="AT9" s="30" t="s">
        <v>50</v>
      </c>
      <c r="AU9" s="93"/>
    </row>
    <row r="10" spans="1:47" s="1" customFormat="1" ht="18" customHeight="1" x14ac:dyDescent="0.25">
      <c r="A10" s="7"/>
      <c r="B10" s="7"/>
      <c r="C10" s="13"/>
      <c r="D10" s="7">
        <f>SUM(D11)</f>
        <v>1</v>
      </c>
      <c r="E10" s="13"/>
      <c r="F10" s="7"/>
      <c r="G10" s="11" t="s">
        <v>12</v>
      </c>
      <c r="H10" s="25"/>
      <c r="I10" s="7">
        <f t="shared" ref="I10:P10" si="0">SUM(I11)</f>
        <v>0</v>
      </c>
      <c r="J10" s="7">
        <f t="shared" si="0"/>
        <v>0</v>
      </c>
      <c r="K10" s="7">
        <f t="shared" si="0"/>
        <v>0</v>
      </c>
      <c r="L10" s="7">
        <f t="shared" si="0"/>
        <v>0</v>
      </c>
      <c r="M10" s="7">
        <f t="shared" si="0"/>
        <v>0</v>
      </c>
      <c r="N10" s="7">
        <f t="shared" si="0"/>
        <v>0</v>
      </c>
      <c r="O10" s="7">
        <f t="shared" si="0"/>
        <v>0</v>
      </c>
      <c r="P10" s="7">
        <f t="shared" si="0"/>
        <v>0</v>
      </c>
      <c r="Q10" s="7"/>
      <c r="R10" s="7">
        <f>SUM(R11)</f>
        <v>0</v>
      </c>
      <c r="S10" s="7">
        <f>SUM(S11)</f>
        <v>0</v>
      </c>
      <c r="T10" s="7">
        <f>SUM(T11)</f>
        <v>0</v>
      </c>
      <c r="U10" s="7">
        <f>SUM(U11)</f>
        <v>0</v>
      </c>
      <c r="V10" s="7"/>
      <c r="W10" s="7">
        <f>SUM(W11)</f>
        <v>0</v>
      </c>
      <c r="X10" s="7">
        <f>SUM(X11)</f>
        <v>0</v>
      </c>
      <c r="Y10" s="7">
        <f>SUM(Y11)</f>
        <v>0</v>
      </c>
      <c r="Z10" s="7">
        <f>SUM(Z11)</f>
        <v>0</v>
      </c>
      <c r="AA10" s="7"/>
      <c r="AB10" s="7">
        <f t="shared" ref="AB10:AN10" si="1">SUM(AB11)</f>
        <v>0</v>
      </c>
      <c r="AC10" s="35">
        <f t="shared" ref="AC10:AC11" si="2">IFERROR(AB10/L10,0)</f>
        <v>0</v>
      </c>
      <c r="AD10" s="7">
        <f t="shared" si="1"/>
        <v>0</v>
      </c>
      <c r="AE10" s="7">
        <f t="shared" si="1"/>
        <v>0</v>
      </c>
      <c r="AF10" s="7">
        <f t="shared" si="1"/>
        <v>0</v>
      </c>
      <c r="AG10" s="7">
        <f t="shared" si="1"/>
        <v>0</v>
      </c>
      <c r="AH10" s="32">
        <f>SUM(AH11)</f>
        <v>0</v>
      </c>
      <c r="AI10" s="32">
        <f t="shared" si="1"/>
        <v>0</v>
      </c>
      <c r="AJ10" s="32">
        <f t="shared" si="1"/>
        <v>0</v>
      </c>
      <c r="AK10" s="32">
        <f t="shared" si="1"/>
        <v>0</v>
      </c>
      <c r="AL10" s="32">
        <f>SUM(AL11)</f>
        <v>0</v>
      </c>
      <c r="AM10" s="32">
        <f t="shared" si="1"/>
        <v>0</v>
      </c>
      <c r="AN10" s="32">
        <f t="shared" si="1"/>
        <v>0</v>
      </c>
      <c r="AO10" s="7">
        <f t="shared" ref="AO10:AT10" si="3">SUM(AO11)</f>
        <v>0</v>
      </c>
      <c r="AP10" s="35">
        <f>IFERROR(AO10/AK10,0)</f>
        <v>0</v>
      </c>
      <c r="AQ10" s="7">
        <f t="shared" si="3"/>
        <v>0</v>
      </c>
      <c r="AR10" s="7">
        <f t="shared" si="3"/>
        <v>0</v>
      </c>
      <c r="AS10" s="7">
        <f t="shared" si="3"/>
        <v>0</v>
      </c>
      <c r="AT10" s="7">
        <f t="shared" si="3"/>
        <v>0</v>
      </c>
      <c r="AU10" s="7"/>
    </row>
    <row r="11" spans="1:47" ht="13.5" customHeight="1" x14ac:dyDescent="0.25">
      <c r="A11" s="4"/>
      <c r="B11" s="14" t="s">
        <v>62</v>
      </c>
      <c r="C11" s="14" t="s">
        <v>64</v>
      </c>
      <c r="D11" s="14">
        <f>COUNTA(D12)</f>
        <v>1</v>
      </c>
      <c r="E11" s="14"/>
      <c r="F11" s="3"/>
      <c r="G11" s="3" t="s">
        <v>65</v>
      </c>
      <c r="H11" s="26"/>
      <c r="I11" s="4">
        <f>SUM(I12)</f>
        <v>0</v>
      </c>
      <c r="J11" s="4">
        <f t="shared" ref="J11:AB11" si="4">SUM(J12)</f>
        <v>0</v>
      </c>
      <c r="K11" s="4">
        <f t="shared" si="4"/>
        <v>0</v>
      </c>
      <c r="L11" s="4">
        <f t="shared" si="4"/>
        <v>0</v>
      </c>
      <c r="M11" s="4">
        <f t="shared" si="4"/>
        <v>0</v>
      </c>
      <c r="N11" s="4">
        <f t="shared" si="4"/>
        <v>0</v>
      </c>
      <c r="O11" s="4">
        <f t="shared" si="4"/>
        <v>0</v>
      </c>
      <c r="P11" s="4">
        <f t="shared" si="4"/>
        <v>0</v>
      </c>
      <c r="Q11" s="4"/>
      <c r="R11" s="4">
        <f t="shared" si="4"/>
        <v>0</v>
      </c>
      <c r="S11" s="4">
        <f t="shared" si="4"/>
        <v>0</v>
      </c>
      <c r="T11" s="4">
        <f t="shared" si="4"/>
        <v>0</v>
      </c>
      <c r="U11" s="4">
        <f t="shared" si="4"/>
        <v>0</v>
      </c>
      <c r="V11" s="4"/>
      <c r="W11" s="4">
        <f t="shared" si="4"/>
        <v>0</v>
      </c>
      <c r="X11" s="4">
        <f t="shared" si="4"/>
        <v>0</v>
      </c>
      <c r="Y11" s="4">
        <f t="shared" si="4"/>
        <v>0</v>
      </c>
      <c r="Z11" s="4">
        <f t="shared" si="4"/>
        <v>0</v>
      </c>
      <c r="AA11" s="4"/>
      <c r="AB11" s="4">
        <f t="shared" si="4"/>
        <v>0</v>
      </c>
      <c r="AC11" s="36">
        <f t="shared" si="2"/>
        <v>0</v>
      </c>
      <c r="AD11" s="4">
        <f t="shared" ref="AD11:AN11" si="5">SUM(AD12)</f>
        <v>0</v>
      </c>
      <c r="AE11" s="4">
        <f t="shared" si="5"/>
        <v>0</v>
      </c>
      <c r="AF11" s="4">
        <f t="shared" si="5"/>
        <v>0</v>
      </c>
      <c r="AG11" s="4">
        <f t="shared" si="5"/>
        <v>0</v>
      </c>
      <c r="AH11" s="33">
        <f>SUM(AH12)</f>
        <v>0</v>
      </c>
      <c r="AI11" s="33">
        <f t="shared" si="5"/>
        <v>0</v>
      </c>
      <c r="AJ11" s="33">
        <f t="shared" si="5"/>
        <v>0</v>
      </c>
      <c r="AK11" s="33">
        <f t="shared" si="5"/>
        <v>0</v>
      </c>
      <c r="AL11" s="33">
        <f>SUM(AL12)</f>
        <v>0</v>
      </c>
      <c r="AM11" s="33">
        <f t="shared" si="5"/>
        <v>0</v>
      </c>
      <c r="AN11" s="33">
        <f t="shared" si="5"/>
        <v>0</v>
      </c>
      <c r="AO11" s="4">
        <f t="shared" ref="AO11:AT11" si="6">SUM(AO12)</f>
        <v>0</v>
      </c>
      <c r="AP11" s="36">
        <f t="shared" ref="AP11:AP12" si="7">IFERROR(AO11/AK11,0)</f>
        <v>0</v>
      </c>
      <c r="AQ11" s="4">
        <f t="shared" si="6"/>
        <v>0</v>
      </c>
      <c r="AR11" s="4">
        <f t="shared" si="6"/>
        <v>0</v>
      </c>
      <c r="AS11" s="4">
        <f t="shared" si="6"/>
        <v>0</v>
      </c>
      <c r="AT11" s="4">
        <f t="shared" si="6"/>
        <v>0</v>
      </c>
      <c r="AU11" s="4"/>
    </row>
    <row r="12" spans="1:47" ht="12" customHeight="1" outlineLevel="1" x14ac:dyDescent="0.25">
      <c r="A12" s="6"/>
      <c r="B12" s="15"/>
      <c r="C12" s="15" t="s">
        <v>26</v>
      </c>
      <c r="D12" s="15" t="s">
        <v>25</v>
      </c>
      <c r="E12" s="15" t="s">
        <v>52</v>
      </c>
      <c r="F12" s="6" t="s">
        <v>27</v>
      </c>
      <c r="G12" s="5" t="s">
        <v>28</v>
      </c>
      <c r="H12" s="29"/>
      <c r="I12" s="6" t="s">
        <v>29</v>
      </c>
      <c r="J12" s="6" t="s">
        <v>30</v>
      </c>
      <c r="K12" s="6" t="s">
        <v>31</v>
      </c>
      <c r="L12" s="6">
        <f>SUM(I12:K12)</f>
        <v>0</v>
      </c>
      <c r="M12" s="6" t="s">
        <v>32</v>
      </c>
      <c r="N12" s="6" t="s">
        <v>33</v>
      </c>
      <c r="O12" s="6" t="s">
        <v>37</v>
      </c>
      <c r="P12" s="6">
        <f>SUM(M12:O12)</f>
        <v>0</v>
      </c>
      <c r="Q12" s="6" t="s">
        <v>44</v>
      </c>
      <c r="R12" s="6" t="s">
        <v>34</v>
      </c>
      <c r="S12" s="6" t="s">
        <v>35</v>
      </c>
      <c r="T12" s="6" t="s">
        <v>36</v>
      </c>
      <c r="U12" s="6">
        <f>SUM(R12:T12)</f>
        <v>0</v>
      </c>
      <c r="V12" s="6" t="s">
        <v>45</v>
      </c>
      <c r="W12" s="6" t="s">
        <v>38</v>
      </c>
      <c r="X12" s="6" t="s">
        <v>39</v>
      </c>
      <c r="Y12" s="6" t="s">
        <v>40</v>
      </c>
      <c r="Z12" s="6">
        <f>SUM(W12:Y12)</f>
        <v>0</v>
      </c>
      <c r="AA12" s="6" t="s">
        <v>46</v>
      </c>
      <c r="AB12" s="6">
        <f>SUM(P12,U12,Z12)</f>
        <v>0</v>
      </c>
      <c r="AC12" s="37">
        <f>IFERROR(AB12/L12,0)</f>
        <v>0</v>
      </c>
      <c r="AD12" s="6" t="s">
        <v>41</v>
      </c>
      <c r="AE12" s="6" t="s">
        <v>42</v>
      </c>
      <c r="AF12" s="6" t="s">
        <v>43</v>
      </c>
      <c r="AG12" s="6">
        <f>SUM(AD12:AF12)</f>
        <v>0</v>
      </c>
      <c r="AH12" s="34" t="s">
        <v>53</v>
      </c>
      <c r="AI12" s="34" t="s">
        <v>54</v>
      </c>
      <c r="AJ12" s="34" t="s">
        <v>55</v>
      </c>
      <c r="AK12" s="6">
        <f>SUM(AH12:AJ12)</f>
        <v>0</v>
      </c>
      <c r="AL12" s="34" t="s">
        <v>56</v>
      </c>
      <c r="AM12" s="34" t="s">
        <v>57</v>
      </c>
      <c r="AN12" s="34" t="s">
        <v>58</v>
      </c>
      <c r="AO12" s="6">
        <f>SUM(AL12:AN12)</f>
        <v>0</v>
      </c>
      <c r="AP12" s="37">
        <f t="shared" si="7"/>
        <v>0</v>
      </c>
      <c r="AQ12" s="34" t="s">
        <v>59</v>
      </c>
      <c r="AR12" s="34" t="s">
        <v>60</v>
      </c>
      <c r="AS12" s="34" t="s">
        <v>61</v>
      </c>
      <c r="AT12" s="6">
        <f>SUM(AQ12:AS12)</f>
        <v>0</v>
      </c>
      <c r="AU12" s="5" t="s">
        <v>67</v>
      </c>
    </row>
  </sheetData>
  <mergeCells count="36">
    <mergeCell ref="G5:G6"/>
    <mergeCell ref="I8:I9"/>
    <mergeCell ref="L8:L9"/>
    <mergeCell ref="M7:AB7"/>
    <mergeCell ref="G7:G9"/>
    <mergeCell ref="M8:Q8"/>
    <mergeCell ref="J8:J9"/>
    <mergeCell ref="AD6:AG6"/>
    <mergeCell ref="AD7:AG7"/>
    <mergeCell ref="AD8:AD9"/>
    <mergeCell ref="AE8:AE9"/>
    <mergeCell ref="AF8:AF9"/>
    <mergeCell ref="AG8:AG9"/>
    <mergeCell ref="AH8:AK8"/>
    <mergeCell ref="AP8:AP9"/>
    <mergeCell ref="AL8:AO8"/>
    <mergeCell ref="AQ8:AT8"/>
    <mergeCell ref="D7:D9"/>
    <mergeCell ref="E7:E9"/>
    <mergeCell ref="AC7:AC9"/>
    <mergeCell ref="AU5:AU9"/>
    <mergeCell ref="C7:C9"/>
    <mergeCell ref="A5:A9"/>
    <mergeCell ref="B7:B9"/>
    <mergeCell ref="H5:AT5"/>
    <mergeCell ref="H6:H9"/>
    <mergeCell ref="I7:L7"/>
    <mergeCell ref="AQ7:AT7"/>
    <mergeCell ref="F7:F9"/>
    <mergeCell ref="K8:K9"/>
    <mergeCell ref="AB8:AB9"/>
    <mergeCell ref="I6:AB6"/>
    <mergeCell ref="AH7:AP7"/>
    <mergeCell ref="W8:AA8"/>
    <mergeCell ref="R8:V8"/>
    <mergeCell ref="AH6:AT6"/>
  </mergeCells>
  <pageMargins left="0" right="0" top="0" bottom="0" header="0" footer="0"/>
  <pageSetup paperSize="9" scale="5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Свод_Сеть</vt:lpstr>
      <vt:lpstr>Свод_RJKAM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2017-08-17T11:49:19Z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24487481-5068-4665-86f0-05738073c06f</vt:lpwstr>
  </property>
</Properties>
</file>